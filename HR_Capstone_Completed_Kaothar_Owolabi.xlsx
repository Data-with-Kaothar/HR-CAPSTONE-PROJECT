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9b60cfb84e5f773e/Desktop/IOTB TECH/Excel Capstone Project/"/>
    </mc:Choice>
  </mc:AlternateContent>
  <xr:revisionPtr revIDLastSave="10" documentId="13_ncr:1_{E0169833-4E99-4BC8-AD5C-297FEA1FB4DA}" xr6:coauthVersionLast="47" xr6:coauthVersionMax="47" xr10:uidLastSave="{5BFDBD64-7A45-4EC2-9567-10AE33CC584E}"/>
  <bookViews>
    <workbookView xWindow="-120" yWindow="-120" windowWidth="20730" windowHeight="11040" firstSheet="2" activeTab="5" xr2:uid="{00000000-000D-0000-FFFF-FFFF00000000}"/>
  </bookViews>
  <sheets>
    <sheet name="Raw_Employee_Data" sheetId="4" r:id="rId1"/>
    <sheet name="Transformed_Raw_Employee_Data" sheetId="1" r:id="rId2"/>
    <sheet name="Lookup_Departments" sheetId="2" r:id="rId3"/>
    <sheet name="Lookup_Performance" sheetId="3" r:id="rId4"/>
    <sheet name="Analysis" sheetId="7" r:id="rId5"/>
    <sheet name="Dashboard" sheetId="8" r:id="rId6"/>
  </sheets>
  <definedNames>
    <definedName name="_xlnm._FilterDatabase" localSheetId="1" hidden="1">Transformed_Raw_Employee_Data!$E$1:$E$151</definedName>
    <definedName name="Slicer_Department_Name">#N/A</definedName>
    <definedName name="Slicer_Employment_Status">#N/A</definedName>
    <definedName name="Slicer_Performance_Band">#N/A</definedName>
    <definedName name="Slicer_Years__Hire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1" i="1" l="1"/>
  <c r="M151" i="1"/>
  <c r="L151" i="1"/>
  <c r="L151" i="1" a="1"/>
  <c r="F151" i="1"/>
  <c r="D151" i="1"/>
  <c r="N150" i="1"/>
  <c r="M150" i="1"/>
  <c r="L150" i="1"/>
  <c r="L150" i="1" a="1"/>
  <c r="F150" i="1"/>
  <c r="D150" i="1"/>
  <c r="N149" i="1"/>
  <c r="M149" i="1"/>
  <c r="L149" i="1"/>
  <c r="L149" i="1" a="1"/>
  <c r="F149" i="1"/>
  <c r="D149" i="1"/>
  <c r="N148" i="1"/>
  <c r="M148" i="1"/>
  <c r="L148" i="1"/>
  <c r="L148" i="1" a="1"/>
  <c r="F148" i="1"/>
  <c r="D148" i="1"/>
  <c r="N147" i="1"/>
  <c r="M147" i="1"/>
  <c r="L147" i="1"/>
  <c r="L147" i="1" a="1"/>
  <c r="F147" i="1"/>
  <c r="D147" i="1"/>
  <c r="N146" i="1"/>
  <c r="M146" i="1"/>
  <c r="L146" i="1"/>
  <c r="L146" i="1" a="1"/>
  <c r="F146" i="1"/>
  <c r="D146" i="1"/>
  <c r="N145" i="1"/>
  <c r="M145" i="1"/>
  <c r="L145" i="1"/>
  <c r="L145" i="1" a="1"/>
  <c r="F145" i="1"/>
  <c r="D145" i="1"/>
  <c r="N144" i="1"/>
  <c r="M144" i="1"/>
  <c r="L144" i="1"/>
  <c r="L144" i="1" a="1"/>
  <c r="F144" i="1"/>
  <c r="D144" i="1"/>
  <c r="N143" i="1"/>
  <c r="M143" i="1"/>
  <c r="L143" i="1"/>
  <c r="L143" i="1" a="1"/>
  <c r="F143" i="1"/>
  <c r="D143" i="1"/>
  <c r="N142" i="1"/>
  <c r="M142" i="1"/>
  <c r="L142" i="1"/>
  <c r="L142" i="1" a="1"/>
  <c r="F142" i="1"/>
  <c r="D142" i="1"/>
  <c r="N141" i="1"/>
  <c r="M141" i="1"/>
  <c r="L141" i="1"/>
  <c r="L141" i="1" a="1"/>
  <c r="F141" i="1"/>
  <c r="D141" i="1"/>
  <c r="N140" i="1"/>
  <c r="M140" i="1"/>
  <c r="L140" i="1"/>
  <c r="L140" i="1" a="1"/>
  <c r="F140" i="1"/>
  <c r="D140" i="1"/>
  <c r="N139" i="1"/>
  <c r="M139" i="1"/>
  <c r="L139" i="1"/>
  <c r="L139" i="1" a="1"/>
  <c r="F139" i="1"/>
  <c r="D139" i="1"/>
  <c r="N138" i="1"/>
  <c r="M138" i="1"/>
  <c r="L138" i="1"/>
  <c r="L138" i="1" a="1"/>
  <c r="F138" i="1"/>
  <c r="D138" i="1"/>
  <c r="N137" i="1"/>
  <c r="M137" i="1"/>
  <c r="L137" i="1"/>
  <c r="L137" i="1" a="1"/>
  <c r="F137" i="1"/>
  <c r="D137" i="1"/>
  <c r="N136" i="1"/>
  <c r="M136" i="1"/>
  <c r="L136" i="1"/>
  <c r="L136" i="1" a="1"/>
  <c r="F136" i="1"/>
  <c r="D136" i="1"/>
  <c r="N135" i="1"/>
  <c r="M135" i="1"/>
  <c r="L135" i="1"/>
  <c r="L135" i="1" a="1"/>
  <c r="F135" i="1"/>
  <c r="D135" i="1"/>
  <c r="N134" i="1"/>
  <c r="M134" i="1"/>
  <c r="L134" i="1"/>
  <c r="L134" i="1" a="1"/>
  <c r="F134" i="1"/>
  <c r="D134" i="1"/>
  <c r="N133" i="1"/>
  <c r="M133" i="1"/>
  <c r="L133" i="1"/>
  <c r="L133" i="1" a="1"/>
  <c r="F133" i="1"/>
  <c r="D133" i="1"/>
  <c r="N132" i="1"/>
  <c r="M132" i="1"/>
  <c r="L132" i="1"/>
  <c r="L132" i="1" a="1"/>
  <c r="F132" i="1"/>
  <c r="D132" i="1"/>
  <c r="N131" i="1"/>
  <c r="M131" i="1"/>
  <c r="L131" i="1"/>
  <c r="L131" i="1" a="1"/>
  <c r="F131" i="1"/>
  <c r="D131" i="1"/>
  <c r="N130" i="1"/>
  <c r="M130" i="1"/>
  <c r="L130" i="1"/>
  <c r="L130" i="1" a="1"/>
  <c r="F130" i="1"/>
  <c r="D130" i="1"/>
  <c r="N129" i="1"/>
  <c r="M129" i="1"/>
  <c r="L129" i="1"/>
  <c r="L129" i="1" a="1"/>
  <c r="F129" i="1"/>
  <c r="D129" i="1"/>
  <c r="N128" i="1"/>
  <c r="M128" i="1"/>
  <c r="L128" i="1"/>
  <c r="L128" i="1" a="1"/>
  <c r="F128" i="1"/>
  <c r="D128" i="1"/>
  <c r="N127" i="1"/>
  <c r="M127" i="1"/>
  <c r="L127" i="1"/>
  <c r="L127" i="1" a="1"/>
  <c r="F127" i="1"/>
  <c r="D127" i="1"/>
  <c r="N126" i="1"/>
  <c r="M126" i="1"/>
  <c r="L126" i="1"/>
  <c r="L126" i="1" a="1"/>
  <c r="F126" i="1"/>
  <c r="D126" i="1"/>
  <c r="N125" i="1"/>
  <c r="M125" i="1"/>
  <c r="L125" i="1"/>
  <c r="L125" i="1" a="1"/>
  <c r="F125" i="1"/>
  <c r="D125" i="1"/>
  <c r="N124" i="1"/>
  <c r="M124" i="1"/>
  <c r="L124" i="1"/>
  <c r="L124" i="1" a="1"/>
  <c r="F124" i="1"/>
  <c r="D124" i="1"/>
  <c r="N123" i="1"/>
  <c r="M123" i="1"/>
  <c r="L123" i="1"/>
  <c r="L123" i="1" a="1"/>
  <c r="F123" i="1"/>
  <c r="D123" i="1"/>
  <c r="N122" i="1"/>
  <c r="M122" i="1"/>
  <c r="L122" i="1"/>
  <c r="L122" i="1" a="1"/>
  <c r="F122" i="1"/>
  <c r="D122" i="1"/>
  <c r="N121" i="1"/>
  <c r="M121" i="1"/>
  <c r="L121" i="1"/>
  <c r="L121" i="1" a="1"/>
  <c r="F121" i="1"/>
  <c r="D121" i="1"/>
  <c r="N120" i="1"/>
  <c r="M120" i="1"/>
  <c r="L120" i="1"/>
  <c r="L120" i="1" a="1"/>
  <c r="F120" i="1"/>
  <c r="D120" i="1"/>
  <c r="N119" i="1"/>
  <c r="M119" i="1"/>
  <c r="L119" i="1"/>
  <c r="L119" i="1" a="1"/>
  <c r="F119" i="1"/>
  <c r="D119" i="1"/>
  <c r="N118" i="1"/>
  <c r="M118" i="1"/>
  <c r="L118" i="1"/>
  <c r="L118" i="1" a="1"/>
  <c r="F118" i="1"/>
  <c r="D118" i="1"/>
  <c r="N117" i="1"/>
  <c r="M117" i="1"/>
  <c r="L117" i="1"/>
  <c r="L117" i="1" a="1"/>
  <c r="F117" i="1"/>
  <c r="D117" i="1"/>
  <c r="N116" i="1"/>
  <c r="M116" i="1"/>
  <c r="L116" i="1"/>
  <c r="L116" i="1" a="1"/>
  <c r="F116" i="1"/>
  <c r="D116" i="1"/>
  <c r="N115" i="1"/>
  <c r="M115" i="1"/>
  <c r="L115" i="1"/>
  <c r="L115" i="1" a="1"/>
  <c r="F115" i="1"/>
  <c r="D115" i="1"/>
  <c r="N114" i="1"/>
  <c r="M114" i="1"/>
  <c r="L114" i="1"/>
  <c r="L114" i="1" a="1"/>
  <c r="F114" i="1"/>
  <c r="D114" i="1"/>
  <c r="N113" i="1"/>
  <c r="M113" i="1"/>
  <c r="L113" i="1"/>
  <c r="L113" i="1" a="1"/>
  <c r="F113" i="1"/>
  <c r="D113" i="1"/>
  <c r="N112" i="1"/>
  <c r="M112" i="1"/>
  <c r="L112" i="1"/>
  <c r="L112" i="1" a="1"/>
  <c r="F112" i="1"/>
  <c r="D112" i="1"/>
  <c r="N111" i="1"/>
  <c r="M111" i="1"/>
  <c r="L111" i="1"/>
  <c r="L111" i="1" a="1"/>
  <c r="F111" i="1"/>
  <c r="D111" i="1"/>
  <c r="N110" i="1"/>
  <c r="M110" i="1"/>
  <c r="L110" i="1"/>
  <c r="L110" i="1" a="1"/>
  <c r="F110" i="1"/>
  <c r="D110" i="1"/>
  <c r="N109" i="1"/>
  <c r="M109" i="1"/>
  <c r="L109" i="1"/>
  <c r="L109" i="1" a="1"/>
  <c r="F109" i="1"/>
  <c r="D109" i="1"/>
  <c r="N108" i="1"/>
  <c r="M108" i="1"/>
  <c r="L108" i="1"/>
  <c r="L108" i="1" a="1"/>
  <c r="F108" i="1"/>
  <c r="D108" i="1"/>
  <c r="N107" i="1"/>
  <c r="M107" i="1"/>
  <c r="L107" i="1"/>
  <c r="L107" i="1" a="1"/>
  <c r="F107" i="1"/>
  <c r="D107" i="1"/>
  <c r="N106" i="1"/>
  <c r="M106" i="1"/>
  <c r="L106" i="1"/>
  <c r="L106" i="1" a="1"/>
  <c r="F106" i="1"/>
  <c r="D106" i="1"/>
  <c r="N105" i="1"/>
  <c r="M105" i="1"/>
  <c r="L105" i="1"/>
  <c r="L105" i="1" a="1"/>
  <c r="F105" i="1"/>
  <c r="D105" i="1"/>
  <c r="N104" i="1"/>
  <c r="M104" i="1"/>
  <c r="L104" i="1"/>
  <c r="L104" i="1" a="1"/>
  <c r="F104" i="1"/>
  <c r="D104" i="1"/>
  <c r="N103" i="1"/>
  <c r="M103" i="1"/>
  <c r="L103" i="1"/>
  <c r="L103" i="1" a="1"/>
  <c r="F103" i="1"/>
  <c r="D103" i="1"/>
  <c r="N102" i="1"/>
  <c r="M102" i="1"/>
  <c r="L102" i="1"/>
  <c r="L102" i="1" a="1"/>
  <c r="F102" i="1"/>
  <c r="D102" i="1"/>
  <c r="N101" i="1"/>
  <c r="M101" i="1"/>
  <c r="L101" i="1"/>
  <c r="L101" i="1" a="1"/>
  <c r="F101" i="1"/>
  <c r="D101" i="1"/>
  <c r="N100" i="1"/>
  <c r="M100" i="1"/>
  <c r="L100" i="1"/>
  <c r="L100" i="1" a="1"/>
  <c r="F100" i="1"/>
  <c r="D100" i="1"/>
  <c r="N99" i="1"/>
  <c r="M99" i="1"/>
  <c r="L99" i="1"/>
  <c r="L99" i="1" a="1"/>
  <c r="F99" i="1"/>
  <c r="D99" i="1"/>
  <c r="N98" i="1"/>
  <c r="M98" i="1"/>
  <c r="L98" i="1"/>
  <c r="L98" i="1" a="1"/>
  <c r="F98" i="1"/>
  <c r="D98" i="1"/>
  <c r="N97" i="1"/>
  <c r="M97" i="1"/>
  <c r="L97" i="1"/>
  <c r="L97" i="1" a="1"/>
  <c r="F97" i="1"/>
  <c r="D97" i="1"/>
  <c r="N96" i="1"/>
  <c r="M96" i="1"/>
  <c r="L96" i="1"/>
  <c r="L96" i="1" a="1"/>
  <c r="F96" i="1"/>
  <c r="D96" i="1"/>
  <c r="N95" i="1"/>
  <c r="M95" i="1"/>
  <c r="L95" i="1"/>
  <c r="L95" i="1" a="1"/>
  <c r="F95" i="1"/>
  <c r="D95" i="1"/>
  <c r="N94" i="1"/>
  <c r="M94" i="1"/>
  <c r="L94" i="1"/>
  <c r="L94" i="1" a="1"/>
  <c r="F94" i="1"/>
  <c r="D94" i="1"/>
  <c r="N93" i="1"/>
  <c r="M93" i="1"/>
  <c r="L93" i="1"/>
  <c r="L93" i="1" a="1"/>
  <c r="F93" i="1"/>
  <c r="D93" i="1"/>
  <c r="N92" i="1"/>
  <c r="M92" i="1"/>
  <c r="L92" i="1"/>
  <c r="L92" i="1" a="1"/>
  <c r="F92" i="1"/>
  <c r="D92" i="1"/>
  <c r="N91" i="1"/>
  <c r="M91" i="1"/>
  <c r="L91" i="1"/>
  <c r="L91" i="1" a="1"/>
  <c r="F91" i="1"/>
  <c r="D91" i="1"/>
  <c r="N90" i="1"/>
  <c r="M90" i="1"/>
  <c r="L90" i="1"/>
  <c r="L90" i="1" a="1"/>
  <c r="F90" i="1"/>
  <c r="D90" i="1"/>
  <c r="N89" i="1"/>
  <c r="M89" i="1"/>
  <c r="L89" i="1"/>
  <c r="L89" i="1" a="1"/>
  <c r="F89" i="1"/>
  <c r="D89" i="1"/>
  <c r="N88" i="1"/>
  <c r="M88" i="1"/>
  <c r="L88" i="1"/>
  <c r="L88" i="1" a="1"/>
  <c r="F88" i="1"/>
  <c r="D88" i="1"/>
  <c r="N87" i="1"/>
  <c r="M87" i="1"/>
  <c r="L87" i="1"/>
  <c r="L87" i="1" a="1"/>
  <c r="F87" i="1"/>
  <c r="D87" i="1"/>
  <c r="N86" i="1"/>
  <c r="M86" i="1"/>
  <c r="L86" i="1"/>
  <c r="L86" i="1" a="1"/>
  <c r="F86" i="1"/>
  <c r="D86" i="1"/>
  <c r="N85" i="1"/>
  <c r="M85" i="1"/>
  <c r="L85" i="1"/>
  <c r="L85" i="1" a="1"/>
  <c r="F85" i="1"/>
  <c r="D85" i="1"/>
  <c r="N84" i="1"/>
  <c r="M84" i="1"/>
  <c r="L84" i="1"/>
  <c r="L84" i="1" a="1"/>
  <c r="F84" i="1"/>
  <c r="D84" i="1"/>
  <c r="N83" i="1"/>
  <c r="M83" i="1"/>
  <c r="L83" i="1"/>
  <c r="L83" i="1" a="1"/>
  <c r="F83" i="1"/>
  <c r="D83" i="1"/>
  <c r="N82" i="1"/>
  <c r="M82" i="1"/>
  <c r="L82" i="1"/>
  <c r="L82" i="1" a="1"/>
  <c r="F82" i="1"/>
  <c r="D82" i="1"/>
  <c r="N81" i="1"/>
  <c r="M81" i="1"/>
  <c r="L81" i="1"/>
  <c r="L81" i="1" a="1"/>
  <c r="F81" i="1"/>
  <c r="D81" i="1"/>
  <c r="N80" i="1"/>
  <c r="M80" i="1"/>
  <c r="L80" i="1"/>
  <c r="L80" i="1" a="1"/>
  <c r="F80" i="1"/>
  <c r="D80" i="1"/>
  <c r="N79" i="1"/>
  <c r="M79" i="1"/>
  <c r="L79" i="1"/>
  <c r="L79" i="1" a="1"/>
  <c r="F79" i="1"/>
  <c r="D79" i="1"/>
  <c r="N78" i="1"/>
  <c r="M78" i="1"/>
  <c r="L78" i="1"/>
  <c r="L78" i="1" a="1"/>
  <c r="F78" i="1"/>
  <c r="D78" i="1"/>
  <c r="N77" i="1"/>
  <c r="M77" i="1"/>
  <c r="L77" i="1"/>
  <c r="L77" i="1" a="1"/>
  <c r="F77" i="1"/>
  <c r="D77" i="1"/>
  <c r="N76" i="1"/>
  <c r="M76" i="1"/>
  <c r="L76" i="1"/>
  <c r="L76" i="1" a="1"/>
  <c r="F76" i="1"/>
  <c r="D76" i="1"/>
  <c r="N75" i="1"/>
  <c r="M75" i="1"/>
  <c r="L75" i="1"/>
  <c r="L75" i="1" a="1"/>
  <c r="F75" i="1"/>
  <c r="D75" i="1"/>
  <c r="N74" i="1"/>
  <c r="M74" i="1"/>
  <c r="L74" i="1"/>
  <c r="L74" i="1" a="1"/>
  <c r="F74" i="1"/>
  <c r="D74" i="1"/>
  <c r="N73" i="1"/>
  <c r="M73" i="1"/>
  <c r="L73" i="1"/>
  <c r="L73" i="1" a="1"/>
  <c r="F73" i="1"/>
  <c r="D73" i="1"/>
  <c r="N72" i="1"/>
  <c r="M72" i="1"/>
  <c r="L72" i="1"/>
  <c r="L72" i="1" a="1"/>
  <c r="F72" i="1"/>
  <c r="D72" i="1"/>
  <c r="N71" i="1"/>
  <c r="M71" i="1"/>
  <c r="L71" i="1"/>
  <c r="L71" i="1" a="1"/>
  <c r="F71" i="1"/>
  <c r="D71" i="1"/>
  <c r="N70" i="1"/>
  <c r="M70" i="1"/>
  <c r="L70" i="1"/>
  <c r="L70" i="1" a="1"/>
  <c r="F70" i="1"/>
  <c r="D70" i="1"/>
  <c r="N69" i="1"/>
  <c r="M69" i="1"/>
  <c r="L69" i="1"/>
  <c r="L69" i="1" a="1"/>
  <c r="F69" i="1"/>
  <c r="D69" i="1"/>
  <c r="N68" i="1"/>
  <c r="M68" i="1"/>
  <c r="L68" i="1"/>
  <c r="L68" i="1" a="1"/>
  <c r="F68" i="1"/>
  <c r="D68" i="1"/>
  <c r="N67" i="1"/>
  <c r="M67" i="1"/>
  <c r="L67" i="1"/>
  <c r="L67" i="1" a="1"/>
  <c r="F67" i="1"/>
  <c r="D67" i="1"/>
  <c r="N66" i="1"/>
  <c r="M66" i="1"/>
  <c r="L66" i="1"/>
  <c r="L66" i="1" a="1"/>
  <c r="F66" i="1"/>
  <c r="D66" i="1"/>
  <c r="N65" i="1"/>
  <c r="M65" i="1"/>
  <c r="L65" i="1"/>
  <c r="L65" i="1" a="1"/>
  <c r="F65" i="1"/>
  <c r="D65" i="1"/>
  <c r="N64" i="1"/>
  <c r="M64" i="1"/>
  <c r="L64" i="1"/>
  <c r="L64" i="1" a="1"/>
  <c r="F64" i="1"/>
  <c r="D64" i="1"/>
  <c r="N63" i="1"/>
  <c r="M63" i="1"/>
  <c r="L63" i="1"/>
  <c r="L63" i="1" a="1"/>
  <c r="F63" i="1"/>
  <c r="D63" i="1"/>
  <c r="N62" i="1"/>
  <c r="M62" i="1"/>
  <c r="L62" i="1"/>
  <c r="L62" i="1" a="1"/>
  <c r="F62" i="1"/>
  <c r="D62" i="1"/>
  <c r="N61" i="1"/>
  <c r="M61" i="1"/>
  <c r="L61" i="1"/>
  <c r="L61" i="1" a="1"/>
  <c r="F61" i="1"/>
  <c r="D61" i="1"/>
  <c r="N60" i="1"/>
  <c r="M60" i="1"/>
  <c r="L60" i="1"/>
  <c r="L60" i="1" a="1"/>
  <c r="F60" i="1"/>
  <c r="D60" i="1"/>
  <c r="N59" i="1"/>
  <c r="M59" i="1"/>
  <c r="L59" i="1"/>
  <c r="L59" i="1" a="1"/>
  <c r="F59" i="1"/>
  <c r="D59" i="1"/>
  <c r="N58" i="1"/>
  <c r="M58" i="1"/>
  <c r="L58" i="1"/>
  <c r="L58" i="1" a="1"/>
  <c r="F58" i="1"/>
  <c r="D58" i="1"/>
  <c r="N57" i="1"/>
  <c r="M57" i="1"/>
  <c r="L57" i="1"/>
  <c r="L57" i="1" a="1"/>
  <c r="F57" i="1"/>
  <c r="D57" i="1"/>
  <c r="N56" i="1"/>
  <c r="M56" i="1"/>
  <c r="L56" i="1"/>
  <c r="L56" i="1" a="1"/>
  <c r="F56" i="1"/>
  <c r="D56" i="1"/>
  <c r="N55" i="1"/>
  <c r="M55" i="1"/>
  <c r="L55" i="1"/>
  <c r="L55" i="1" a="1"/>
  <c r="F55" i="1"/>
  <c r="D55" i="1"/>
  <c r="N54" i="1"/>
  <c r="M54" i="1"/>
  <c r="L54" i="1"/>
  <c r="L54" i="1" a="1"/>
  <c r="F54" i="1"/>
  <c r="D54" i="1"/>
  <c r="N53" i="1"/>
  <c r="M53" i="1"/>
  <c r="L53" i="1"/>
  <c r="L53" i="1" a="1"/>
  <c r="F53" i="1"/>
  <c r="D53" i="1"/>
  <c r="N52" i="1"/>
  <c r="M52" i="1"/>
  <c r="L52" i="1"/>
  <c r="L52" i="1" a="1"/>
  <c r="F52" i="1"/>
  <c r="D52" i="1"/>
  <c r="N51" i="1"/>
  <c r="M51" i="1"/>
  <c r="L51" i="1"/>
  <c r="L51" i="1" a="1"/>
  <c r="F51" i="1"/>
  <c r="D51" i="1"/>
  <c r="N50" i="1"/>
  <c r="M50" i="1"/>
  <c r="L50" i="1"/>
  <c r="L50" i="1" a="1"/>
  <c r="F50" i="1"/>
  <c r="D50" i="1"/>
  <c r="N49" i="1"/>
  <c r="M49" i="1"/>
  <c r="L49" i="1"/>
  <c r="L49" i="1" a="1"/>
  <c r="F49" i="1"/>
  <c r="D49" i="1"/>
  <c r="N48" i="1"/>
  <c r="M48" i="1"/>
  <c r="L48" i="1"/>
  <c r="L48" i="1" a="1"/>
  <c r="F48" i="1"/>
  <c r="D48" i="1"/>
  <c r="N47" i="1"/>
  <c r="M47" i="1"/>
  <c r="L47" i="1"/>
  <c r="L47" i="1" a="1"/>
  <c r="F47" i="1"/>
  <c r="D47" i="1"/>
  <c r="N46" i="1"/>
  <c r="M46" i="1"/>
  <c r="L46" i="1"/>
  <c r="L46" i="1" a="1"/>
  <c r="F46" i="1"/>
  <c r="D46" i="1"/>
  <c r="N45" i="1"/>
  <c r="M45" i="1"/>
  <c r="L45" i="1"/>
  <c r="L45" i="1" a="1"/>
  <c r="F45" i="1"/>
  <c r="D45" i="1"/>
  <c r="N44" i="1"/>
  <c r="M44" i="1"/>
  <c r="L44" i="1"/>
  <c r="L44" i="1" a="1"/>
  <c r="F44" i="1"/>
  <c r="D44" i="1"/>
  <c r="N43" i="1"/>
  <c r="M43" i="1"/>
  <c r="L43" i="1"/>
  <c r="L43" i="1" a="1"/>
  <c r="F43" i="1"/>
  <c r="D43" i="1"/>
  <c r="N42" i="1"/>
  <c r="M42" i="1"/>
  <c r="L42" i="1"/>
  <c r="L42" i="1" a="1"/>
  <c r="F42" i="1"/>
  <c r="D42" i="1"/>
  <c r="N41" i="1"/>
  <c r="M41" i="1"/>
  <c r="L41" i="1"/>
  <c r="L41" i="1" a="1"/>
  <c r="F41" i="1"/>
  <c r="D41" i="1"/>
  <c r="N40" i="1"/>
  <c r="M40" i="1"/>
  <c r="L40" i="1"/>
  <c r="L40" i="1" a="1"/>
  <c r="F40" i="1"/>
  <c r="D40" i="1"/>
  <c r="N39" i="1"/>
  <c r="M39" i="1"/>
  <c r="L39" i="1"/>
  <c r="L39" i="1" a="1"/>
  <c r="F39" i="1"/>
  <c r="D39" i="1"/>
  <c r="N38" i="1"/>
  <c r="M38" i="1"/>
  <c r="L38" i="1"/>
  <c r="L38" i="1" a="1"/>
  <c r="F38" i="1"/>
  <c r="D38" i="1"/>
  <c r="N37" i="1"/>
  <c r="M37" i="1"/>
  <c r="L37" i="1"/>
  <c r="L37" i="1" a="1"/>
  <c r="F37" i="1"/>
  <c r="D37" i="1"/>
  <c r="N36" i="1"/>
  <c r="M36" i="1"/>
  <c r="L36" i="1"/>
  <c r="L36" i="1" a="1"/>
  <c r="F36" i="1"/>
  <c r="D36" i="1"/>
  <c r="N35" i="1"/>
  <c r="M35" i="1"/>
  <c r="L35" i="1"/>
  <c r="L35" i="1" a="1"/>
  <c r="F35" i="1"/>
  <c r="D35" i="1"/>
  <c r="N34" i="1"/>
  <c r="M34" i="1"/>
  <c r="L34" i="1"/>
  <c r="L34" i="1" a="1"/>
  <c r="F34" i="1"/>
  <c r="D34" i="1"/>
  <c r="N33" i="1"/>
  <c r="M33" i="1"/>
  <c r="L33" i="1"/>
  <c r="L33" i="1" a="1"/>
  <c r="F33" i="1"/>
  <c r="D33" i="1"/>
  <c r="N32" i="1"/>
  <c r="M32" i="1"/>
  <c r="L32" i="1"/>
  <c r="L32" i="1" a="1"/>
  <c r="F32" i="1"/>
  <c r="D32" i="1"/>
  <c r="N31" i="1"/>
  <c r="M31" i="1"/>
  <c r="L31" i="1"/>
  <c r="L31" i="1" a="1"/>
  <c r="F31" i="1"/>
  <c r="D31" i="1"/>
  <c r="N30" i="1"/>
  <c r="M30" i="1"/>
  <c r="L30" i="1"/>
  <c r="L30" i="1" a="1"/>
  <c r="F30" i="1"/>
  <c r="D30" i="1"/>
  <c r="N29" i="1"/>
  <c r="M29" i="1"/>
  <c r="L29" i="1"/>
  <c r="L29" i="1" a="1"/>
  <c r="F29" i="1"/>
  <c r="D29" i="1"/>
  <c r="N28" i="1"/>
  <c r="M28" i="1"/>
  <c r="L28" i="1"/>
  <c r="L28" i="1" a="1"/>
  <c r="F28" i="1"/>
  <c r="D28" i="1"/>
  <c r="N27" i="1"/>
  <c r="M27" i="1"/>
  <c r="L27" i="1"/>
  <c r="L27" i="1" a="1"/>
  <c r="F27" i="1"/>
  <c r="D27" i="1"/>
  <c r="N26" i="1"/>
  <c r="M26" i="1"/>
  <c r="L26" i="1"/>
  <c r="L26" i="1" a="1"/>
  <c r="F26" i="1"/>
  <c r="D26" i="1"/>
  <c r="N25" i="1"/>
  <c r="M25" i="1"/>
  <c r="L25" i="1"/>
  <c r="L25" i="1" a="1"/>
  <c r="F25" i="1"/>
  <c r="D25" i="1"/>
  <c r="N24" i="1"/>
  <c r="M24" i="1"/>
  <c r="L24" i="1"/>
  <c r="L24" i="1" a="1"/>
  <c r="F24" i="1"/>
  <c r="D24" i="1"/>
  <c r="N23" i="1"/>
  <c r="M23" i="1"/>
  <c r="L23" i="1"/>
  <c r="L23" i="1" a="1"/>
  <c r="F23" i="1"/>
  <c r="D23" i="1"/>
  <c r="R22" i="1"/>
  <c r="Q22" i="1"/>
  <c r="P22" i="1"/>
  <c r="N22" i="1"/>
  <c r="M22" i="1"/>
  <c r="L22" i="1"/>
  <c r="L22" i="1" a="1"/>
  <c r="F22" i="1"/>
  <c r="D22" i="1"/>
  <c r="R21" i="1"/>
  <c r="Q21" i="1"/>
  <c r="P21" i="1"/>
  <c r="N21" i="1"/>
  <c r="M21" i="1"/>
  <c r="L21" i="1"/>
  <c r="L21" i="1" a="1"/>
  <c r="F21" i="1"/>
  <c r="D21" i="1"/>
  <c r="R20" i="1"/>
  <c r="Q20" i="1"/>
  <c r="P20" i="1"/>
  <c r="N20" i="1"/>
  <c r="M20" i="1"/>
  <c r="L20" i="1"/>
  <c r="L20" i="1" a="1"/>
  <c r="F20" i="1"/>
  <c r="D20" i="1"/>
  <c r="R19" i="1"/>
  <c r="Q19" i="1"/>
  <c r="P19" i="1"/>
  <c r="N19" i="1"/>
  <c r="M19" i="1"/>
  <c r="L19" i="1"/>
  <c r="L19" i="1" a="1"/>
  <c r="F19" i="1"/>
  <c r="D19" i="1"/>
  <c r="R18" i="1"/>
  <c r="Q18" i="1"/>
  <c r="P18" i="1"/>
  <c r="N18" i="1"/>
  <c r="M18" i="1"/>
  <c r="L18" i="1"/>
  <c r="L18" i="1" a="1"/>
  <c r="F18" i="1"/>
  <c r="D18" i="1"/>
  <c r="R17" i="1"/>
  <c r="Q17" i="1"/>
  <c r="P17" i="1"/>
  <c r="N17" i="1"/>
  <c r="M17" i="1"/>
  <c r="L17" i="1"/>
  <c r="L17" i="1" a="1"/>
  <c r="F17" i="1"/>
  <c r="D17" i="1"/>
  <c r="N16" i="1"/>
  <c r="M16" i="1"/>
  <c r="L16" i="1"/>
  <c r="L16" i="1" a="1"/>
  <c r="F16" i="1"/>
  <c r="D16" i="1"/>
  <c r="N15" i="1"/>
  <c r="M15" i="1"/>
  <c r="L15" i="1"/>
  <c r="L15" i="1" a="1"/>
  <c r="F15" i="1"/>
  <c r="D15" i="1"/>
  <c r="N14" i="1"/>
  <c r="M14" i="1"/>
  <c r="L14" i="1"/>
  <c r="L14" i="1" a="1"/>
  <c r="F14" i="1"/>
  <c r="D14" i="1"/>
  <c r="R13" i="1"/>
  <c r="Q13" i="1"/>
  <c r="P13" i="1"/>
  <c r="N13" i="1"/>
  <c r="M13" i="1"/>
  <c r="L13" i="1"/>
  <c r="L13" i="1" a="1"/>
  <c r="F13" i="1"/>
  <c r="D13" i="1"/>
  <c r="R12" i="1"/>
  <c r="Q12" i="1"/>
  <c r="P12" i="1"/>
  <c r="N12" i="1"/>
  <c r="M12" i="1"/>
  <c r="L12" i="1"/>
  <c r="L12" i="1" a="1"/>
  <c r="F12" i="1"/>
  <c r="D12" i="1"/>
  <c r="R11" i="1"/>
  <c r="Q11" i="1"/>
  <c r="P11" i="1"/>
  <c r="N11" i="1"/>
  <c r="M11" i="1"/>
  <c r="L11" i="1"/>
  <c r="L11" i="1" a="1"/>
  <c r="F11" i="1"/>
  <c r="D11" i="1"/>
  <c r="R10" i="1"/>
  <c r="Q10" i="1"/>
  <c r="P10" i="1"/>
  <c r="N10" i="1"/>
  <c r="M10" i="1"/>
  <c r="L10" i="1"/>
  <c r="L10" i="1" a="1"/>
  <c r="F10" i="1"/>
  <c r="D10" i="1"/>
  <c r="R9" i="1"/>
  <c r="Q9" i="1"/>
  <c r="P9" i="1"/>
  <c r="N9" i="1"/>
  <c r="M9" i="1"/>
  <c r="L9" i="1"/>
  <c r="L9" i="1" a="1"/>
  <c r="F9" i="1"/>
  <c r="D9" i="1"/>
  <c r="R8" i="1"/>
  <c r="Q8" i="1"/>
  <c r="P8" i="1"/>
  <c r="N8" i="1"/>
  <c r="M8" i="1"/>
  <c r="L8" i="1"/>
  <c r="L8" i="1" a="1"/>
  <c r="F8" i="1"/>
  <c r="D8" i="1"/>
  <c r="N7" i="1"/>
  <c r="M7" i="1"/>
  <c r="L7" i="1"/>
  <c r="L7" i="1" a="1"/>
  <c r="F7" i="1"/>
  <c r="D7" i="1"/>
  <c r="N6" i="1"/>
  <c r="M6" i="1"/>
  <c r="L6" i="1"/>
  <c r="L6" i="1" a="1"/>
  <c r="F6" i="1"/>
  <c r="D6" i="1"/>
  <c r="N5" i="1"/>
  <c r="M5" i="1"/>
  <c r="L5" i="1"/>
  <c r="L5" i="1" a="1"/>
  <c r="F5" i="1"/>
  <c r="D5" i="1"/>
  <c r="N4" i="1"/>
  <c r="M4" i="1"/>
  <c r="L4" i="1"/>
  <c r="L4" i="1" a="1"/>
  <c r="F4" i="1"/>
  <c r="D4" i="1"/>
  <c r="N3" i="1"/>
  <c r="M3" i="1"/>
  <c r="L3" i="1"/>
  <c r="L3" i="1" a="1"/>
  <c r="F3" i="1"/>
  <c r="D3" i="1"/>
  <c r="N2" i="1"/>
  <c r="M2" i="1"/>
  <c r="L2" i="1"/>
  <c r="L2" i="1" a="1"/>
  <c r="F2" i="1"/>
  <c r="D2" i="1"/>
  <c r="C46" i="7"/>
  <c r="G21" i="7"/>
  <c r="G6" i="7"/>
  <c r="B7" i="7"/>
  <c r="B2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<sst xmlns="http://schemas.openxmlformats.org/spreadsheetml/2006/main" count="1758" uniqueCount="345">
  <si>
    <t>Emp ID</t>
  </si>
  <si>
    <t>First_Name</t>
  </si>
  <si>
    <t>Last_Name</t>
  </si>
  <si>
    <t>Dept Code</t>
  </si>
  <si>
    <t>Hire Date</t>
  </si>
  <si>
    <t>Salary</t>
  </si>
  <si>
    <t>Perf_Score</t>
  </si>
  <si>
    <t>Employment Status</t>
  </si>
  <si>
    <t>EMP127</t>
  </si>
  <si>
    <t>Emily</t>
  </si>
  <si>
    <t>Brown</t>
  </si>
  <si>
    <t>IT02</t>
  </si>
  <si>
    <t>active</t>
  </si>
  <si>
    <t>EMP046</t>
  </si>
  <si>
    <t>Richard</t>
  </si>
  <si>
    <t>Hernandez</t>
  </si>
  <si>
    <t>MKT04</t>
  </si>
  <si>
    <t xml:space="preserve"> ACTIVE </t>
  </si>
  <si>
    <t>EMP134</t>
  </si>
  <si>
    <t>Gonzalez</t>
  </si>
  <si>
    <t xml:space="preserve"> IT02 </t>
  </si>
  <si>
    <t>$114,425</t>
  </si>
  <si>
    <t xml:space="preserve"> LEFT </t>
  </si>
  <si>
    <t>EMP139</t>
  </si>
  <si>
    <t>John</t>
  </si>
  <si>
    <t>Martinez</t>
  </si>
  <si>
    <t>FIN03</t>
  </si>
  <si>
    <t>EMP112</t>
  </si>
  <si>
    <t>Thomas</t>
  </si>
  <si>
    <t>Smith</t>
  </si>
  <si>
    <t>Left</t>
  </si>
  <si>
    <t>EMP030</t>
  </si>
  <si>
    <t>Johnson</t>
  </si>
  <si>
    <t>OPS06</t>
  </si>
  <si>
    <t>02-Mar-20</t>
  </si>
  <si>
    <t>EMP096</t>
  </si>
  <si>
    <t>Wilson</t>
  </si>
  <si>
    <t xml:space="preserve"> OPS06 </t>
  </si>
  <si>
    <t>EMP098</t>
  </si>
  <si>
    <t>Jessica</t>
  </si>
  <si>
    <t>EMP095</t>
  </si>
  <si>
    <t>Rodriguez</t>
  </si>
  <si>
    <t>EMP140</t>
  </si>
  <si>
    <t>Michael</t>
  </si>
  <si>
    <t>SAL05</t>
  </si>
  <si>
    <t>Active</t>
  </si>
  <si>
    <t>EMP020</t>
  </si>
  <si>
    <t>Miller</t>
  </si>
  <si>
    <t>sal05</t>
  </si>
  <si>
    <t>$118,635</t>
  </si>
  <si>
    <t>EMP057</t>
  </si>
  <si>
    <t>Actv</t>
  </si>
  <si>
    <t>EMP016</t>
  </si>
  <si>
    <t>Jane</t>
  </si>
  <si>
    <t>Williams</t>
  </si>
  <si>
    <t>mkt04</t>
  </si>
  <si>
    <t>17-Jun-21</t>
  </si>
  <si>
    <t>EMP070</t>
  </si>
  <si>
    <t>EMP025</t>
  </si>
  <si>
    <t>Robert</t>
  </si>
  <si>
    <t>Jones</t>
  </si>
  <si>
    <t xml:space="preserve"> MKT04 </t>
  </si>
  <si>
    <t>EMP031</t>
  </si>
  <si>
    <t>EMP126</t>
  </si>
  <si>
    <t>Davis</t>
  </si>
  <si>
    <t>EMP109</t>
  </si>
  <si>
    <t>James</t>
  </si>
  <si>
    <t>EMP066</t>
  </si>
  <si>
    <t>Ashley</t>
  </si>
  <si>
    <t>Lopez</t>
  </si>
  <si>
    <t>EMP120</t>
  </si>
  <si>
    <t>Amanda</t>
  </si>
  <si>
    <t>EMP019</t>
  </si>
  <si>
    <t>EMP013</t>
  </si>
  <si>
    <t>EMP010</t>
  </si>
  <si>
    <t>EMP032</t>
  </si>
  <si>
    <t xml:space="preserve"> FIN03 </t>
  </si>
  <si>
    <t>EMP082</t>
  </si>
  <si>
    <t>EMP052</t>
  </si>
  <si>
    <t xml:space="preserve"> SAL05 </t>
  </si>
  <si>
    <t>EMP129</t>
  </si>
  <si>
    <t>09/24/2019</t>
  </si>
  <si>
    <t>$77,610</t>
  </si>
  <si>
    <t>EMP146</t>
  </si>
  <si>
    <t>it02</t>
  </si>
  <si>
    <t>$50,873</t>
  </si>
  <si>
    <t>EMP099</t>
  </si>
  <si>
    <t>fin03</t>
  </si>
  <si>
    <t>13-May-18</t>
  </si>
  <si>
    <t>EMP015</t>
  </si>
  <si>
    <t>EMP076</t>
  </si>
  <si>
    <t>05-Aug-15</t>
  </si>
  <si>
    <t>EMP137</t>
  </si>
  <si>
    <t>EMP056</t>
  </si>
  <si>
    <t>Sarah</t>
  </si>
  <si>
    <t>10-Jun-19</t>
  </si>
  <si>
    <t>EMP125</t>
  </si>
  <si>
    <t>HR01</t>
  </si>
  <si>
    <t>EMP085</t>
  </si>
  <si>
    <t>03-Jul-17</t>
  </si>
  <si>
    <t>EMP106</t>
  </si>
  <si>
    <t>01-Sep-15</t>
  </si>
  <si>
    <t>EMP043</t>
  </si>
  <si>
    <t>03-Aug-22</t>
  </si>
  <si>
    <t>EMP068</t>
  </si>
  <si>
    <t>Melissa</t>
  </si>
  <si>
    <t>06/29/2022</t>
  </si>
  <si>
    <t>EMP128</t>
  </si>
  <si>
    <t>left</t>
  </si>
  <si>
    <t>EMP027</t>
  </si>
  <si>
    <t>09/09/2017</t>
  </si>
  <si>
    <t>EMP136</t>
  </si>
  <si>
    <t>EMP079</t>
  </si>
  <si>
    <t>David</t>
  </si>
  <si>
    <t>EMP149</t>
  </si>
  <si>
    <t>$66,606</t>
  </si>
  <si>
    <t>Resigned</t>
  </si>
  <si>
    <t>EMP037</t>
  </si>
  <si>
    <t>EMP077</t>
  </si>
  <si>
    <t>07/14/2016</t>
  </si>
  <si>
    <t>EMP023</t>
  </si>
  <si>
    <t>EMP133</t>
  </si>
  <si>
    <t>10-Jul-19</t>
  </si>
  <si>
    <t>EMP141</t>
  </si>
  <si>
    <t>EMP012</t>
  </si>
  <si>
    <t>EMP080</t>
  </si>
  <si>
    <t>$75,023</t>
  </si>
  <si>
    <t>EMP069</t>
  </si>
  <si>
    <t>EMP150</t>
  </si>
  <si>
    <t>EMP028</t>
  </si>
  <si>
    <t>10/07/2019</t>
  </si>
  <si>
    <t>EMP087</t>
  </si>
  <si>
    <t>EMP119</t>
  </si>
  <si>
    <t>Garcia</t>
  </si>
  <si>
    <t>EMP042</t>
  </si>
  <si>
    <t>Anderson</t>
  </si>
  <si>
    <t>EMP005</t>
  </si>
  <si>
    <t>EMP033</t>
  </si>
  <si>
    <t>hr01</t>
  </si>
  <si>
    <t>02/07/2018</t>
  </si>
  <si>
    <t>EMP061</t>
  </si>
  <si>
    <t>EMP102</t>
  </si>
  <si>
    <t>EMP067</t>
  </si>
  <si>
    <t>EMP017</t>
  </si>
  <si>
    <t>EMP123</t>
  </si>
  <si>
    <t>$75,519</t>
  </si>
  <si>
    <t>EMP011</t>
  </si>
  <si>
    <t>EMP091</t>
  </si>
  <si>
    <t>EMP145</t>
  </si>
  <si>
    <t>11/11/2016</t>
  </si>
  <si>
    <t>$50,936</t>
  </si>
  <si>
    <t>EMP001</t>
  </si>
  <si>
    <t>24-Mar-17</t>
  </si>
  <si>
    <t>$111,240</t>
  </si>
  <si>
    <t>EMP113</t>
  </si>
  <si>
    <t>05-May-19</t>
  </si>
  <si>
    <t>EMP065</t>
  </si>
  <si>
    <t xml:space="preserve"> HR01 </t>
  </si>
  <si>
    <t>EMP045</t>
  </si>
  <si>
    <t>EMP083</t>
  </si>
  <si>
    <t>William</t>
  </si>
  <si>
    <t>EMP029</t>
  </si>
  <si>
    <t>EMP041</t>
  </si>
  <si>
    <t>EMP026</t>
  </si>
  <si>
    <t>EMP024</t>
  </si>
  <si>
    <t>ops06</t>
  </si>
  <si>
    <t>11-Oct-16</t>
  </si>
  <si>
    <t>EMP111</t>
  </si>
  <si>
    <t>EMP040</t>
  </si>
  <si>
    <t>02/19/2017</t>
  </si>
  <si>
    <t>$86,246</t>
  </si>
  <si>
    <t>EMP086</t>
  </si>
  <si>
    <t>09/07/2021</t>
  </si>
  <si>
    <t>EMP124</t>
  </si>
  <si>
    <t>EMP132</t>
  </si>
  <si>
    <t>EMP048</t>
  </si>
  <si>
    <t>09/29/2018</t>
  </si>
  <si>
    <t>$47,694</t>
  </si>
  <si>
    <t>EMP114</t>
  </si>
  <si>
    <t>EMP062</t>
  </si>
  <si>
    <t>EMP074</t>
  </si>
  <si>
    <t>07-Feb-21</t>
  </si>
  <si>
    <t>EMP034</t>
  </si>
  <si>
    <t>10/04/2023</t>
  </si>
  <si>
    <t>EMP105</t>
  </si>
  <si>
    <t>EMP118</t>
  </si>
  <si>
    <t>EMP063</t>
  </si>
  <si>
    <t>27-Nov-19</t>
  </si>
  <si>
    <t>EMP094</t>
  </si>
  <si>
    <t>25-May-17</t>
  </si>
  <si>
    <t>$77,545</t>
  </si>
  <si>
    <t>EMP097</t>
  </si>
  <si>
    <t>EMP054</t>
  </si>
  <si>
    <t>EMP006</t>
  </si>
  <si>
    <t>EMP110</t>
  </si>
  <si>
    <t>$88,056</t>
  </si>
  <si>
    <t>EMP147</t>
  </si>
  <si>
    <t>EMP050</t>
  </si>
  <si>
    <t>$115,288</t>
  </si>
  <si>
    <t>EMP036</t>
  </si>
  <si>
    <t>EMP081</t>
  </si>
  <si>
    <t>EMP078</t>
  </si>
  <si>
    <t>EMP035</t>
  </si>
  <si>
    <t>03/08/2019</t>
  </si>
  <si>
    <t>EMP047</t>
  </si>
  <si>
    <t>11-Mar-15</t>
  </si>
  <si>
    <t>EMP008</t>
  </si>
  <si>
    <t>19-Feb-17</t>
  </si>
  <si>
    <t>EMP044</t>
  </si>
  <si>
    <t>$49,942</t>
  </si>
  <si>
    <t>EMP071</t>
  </si>
  <si>
    <t>EMP115</t>
  </si>
  <si>
    <t>EMP092</t>
  </si>
  <si>
    <t>05/22/2016</t>
  </si>
  <si>
    <t>EMP084</t>
  </si>
  <si>
    <t>EMP142</t>
  </si>
  <si>
    <t>EMP143</t>
  </si>
  <si>
    <t>13-Nov-16</t>
  </si>
  <si>
    <t>$77,737</t>
  </si>
  <si>
    <t>EMP090</t>
  </si>
  <si>
    <t>$95,686</t>
  </si>
  <si>
    <t>EMP009</t>
  </si>
  <si>
    <t>EMP014</t>
  </si>
  <si>
    <t>13-Aug-21</t>
  </si>
  <si>
    <t>$109,121</t>
  </si>
  <si>
    <t>EMP060</t>
  </si>
  <si>
    <t>$112,791</t>
  </si>
  <si>
    <t>EMP135</t>
  </si>
  <si>
    <t>05-Jul-22</t>
  </si>
  <si>
    <t>EMP004</t>
  </si>
  <si>
    <t>07/10/2016</t>
  </si>
  <si>
    <t>EMP018</t>
  </si>
  <si>
    <t>EMP039</t>
  </si>
  <si>
    <t>05/10/2017</t>
  </si>
  <si>
    <t>EMP073</t>
  </si>
  <si>
    <t>EMP138</t>
  </si>
  <si>
    <t>04/20/2023</t>
  </si>
  <si>
    <t>EMP007</t>
  </si>
  <si>
    <t>EMP144</t>
  </si>
  <si>
    <t>24-Oct-21</t>
  </si>
  <si>
    <t>EMP101</t>
  </si>
  <si>
    <t>EMP003</t>
  </si>
  <si>
    <t>EMP121</t>
  </si>
  <si>
    <t>10-Aug-20</t>
  </si>
  <si>
    <t>$68,092</t>
  </si>
  <si>
    <t>EMP064</t>
  </si>
  <si>
    <t>EMP116</t>
  </si>
  <si>
    <t>24-Mar-18</t>
  </si>
  <si>
    <t>EMP055</t>
  </si>
  <si>
    <t>EMP108</t>
  </si>
  <si>
    <t>EMP051</t>
  </si>
  <si>
    <t>04-Mar-16</t>
  </si>
  <si>
    <t>EMP059</t>
  </si>
  <si>
    <t>EMP049</t>
  </si>
  <si>
    <t>28-Jul-17</t>
  </si>
  <si>
    <t>$115,618</t>
  </si>
  <si>
    <t>EMP089</t>
  </si>
  <si>
    <t>05/11/2023</t>
  </si>
  <si>
    <t>$110,618</t>
  </si>
  <si>
    <t>EMP022</t>
  </si>
  <si>
    <t>19-Mar-22</t>
  </si>
  <si>
    <t>EMP058</t>
  </si>
  <si>
    <t>EMP130</t>
  </si>
  <si>
    <t>08/29/2021</t>
  </si>
  <si>
    <t>EMP038</t>
  </si>
  <si>
    <t>$61,547</t>
  </si>
  <si>
    <t>EMP148</t>
  </si>
  <si>
    <t>EMP002</t>
  </si>
  <si>
    <t>03-Oct-17</t>
  </si>
  <si>
    <t>EMP053</t>
  </si>
  <si>
    <t>10/22/2015</t>
  </si>
  <si>
    <t>EMP131</t>
  </si>
  <si>
    <t>EMP104</t>
  </si>
  <si>
    <t>EMP100</t>
  </si>
  <si>
    <t>EMP117</t>
  </si>
  <si>
    <t>$108,119</t>
  </si>
  <si>
    <t>EMP088</t>
  </si>
  <si>
    <t>EMP075</t>
  </si>
  <si>
    <t>EMP122</t>
  </si>
  <si>
    <t>01/12/2019</t>
  </si>
  <si>
    <t>EMP021</t>
  </si>
  <si>
    <t>EMP072</t>
  </si>
  <si>
    <t>EMP107</t>
  </si>
  <si>
    <t>EMP093</t>
  </si>
  <si>
    <t>03-Nov-16</t>
  </si>
  <si>
    <t>EMP103</t>
  </si>
  <si>
    <t>$118,634</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</si>
  <si>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</si>
  <si>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</si>
  <si>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</si>
  <si>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</si>
  <si>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</si>
  <si>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</si>
  <si>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</si>
  <si>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</si>
  <si>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</si>
  <si>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</si>
  <si>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</si>
  <si>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</si>
  <si>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</si>
  <si>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</si>
  <si>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</si>
  <si>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</si>
  <si>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</si>
  <si>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SUMIF</t>
  </si>
  <si>
    <t>COUNTIF</t>
  </si>
  <si>
    <t>MEAN</t>
  </si>
  <si>
    <t>Department</t>
  </si>
  <si>
    <t>IT</t>
  </si>
  <si>
    <t>Column1</t>
  </si>
  <si>
    <t>Helper Table 1</t>
  </si>
  <si>
    <t>Full Name</t>
  </si>
  <si>
    <t>Department Name</t>
  </si>
  <si>
    <t>Year of Service</t>
  </si>
  <si>
    <t>Performance Band</t>
  </si>
  <si>
    <t>Bonus Amount</t>
  </si>
  <si>
    <t>Helper Table 2</t>
  </si>
  <si>
    <t>Grand Total</t>
  </si>
  <si>
    <t>Departments</t>
  </si>
  <si>
    <t>Average Salary</t>
  </si>
  <si>
    <t>Attrition Rate</t>
  </si>
  <si>
    <t>Average Performance Score</t>
  </si>
  <si>
    <t>Projected Bonus</t>
  </si>
  <si>
    <t>Bonus Payout</t>
  </si>
  <si>
    <t xml:space="preserve">                                                   Average Salary Per Department</t>
  </si>
  <si>
    <t xml:space="preserve">                Performance By Status</t>
  </si>
  <si>
    <t>Count of Emp ID</t>
  </si>
  <si>
    <t>2015</t>
  </si>
  <si>
    <t>2016</t>
  </si>
  <si>
    <t>2017</t>
  </si>
  <si>
    <t>2018</t>
  </si>
  <si>
    <t>2019</t>
  </si>
  <si>
    <t>2020</t>
  </si>
  <si>
    <t>2021</t>
  </si>
  <si>
    <t>2022</t>
  </si>
  <si>
    <t>2023</t>
  </si>
  <si>
    <t>Average of Perf_Score</t>
  </si>
  <si>
    <t>Average Performance Score by Department</t>
  </si>
  <si>
    <t xml:space="preserve">              Bonus Payout by Performance Band</t>
  </si>
  <si>
    <t xml:space="preserve">            Attrition Rate by Departments</t>
  </si>
  <si>
    <t>Employee Hiring Trend by Year</t>
  </si>
  <si>
    <t>Total Employee</t>
  </si>
  <si>
    <t>Average Performance Score by Hire Year</t>
  </si>
  <si>
    <t>Hire Year</t>
  </si>
  <si>
    <t>Average Perf_Score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</si>
</sst>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quot;$&quot;#,##0"/>
    <numFmt numFmtId="166" formatCode="#,##0\ [$₦-467]"/>
    <numFmt numFmtId="167" formatCode="[$₦-466]\ #,##0"/>
  </numFmts>
  <fonts count="5" x14ac:knownFonts="1">
    <font>
      <sz val="11"/>
      <color theme="1"/>
      <name val="Calibri"/>
      <family val="2"/>
      <scheme val="minor"/>
    </font>
    <font>
      <b/>
      <sz val="11"/>
      <name val="Calibri"/>
      <family val="2"/>
    </font>
    <font>
      <b/>
      <sz val="11"/>
      <color theme="1"/>
      <name val="Calibri"/>
      <family val="2"/>
      <scheme val="minor"/>
    </font>
    <font>
      <b/>
      <sz val="14"/>
      <color theme="1"/>
      <name val="Calibri"/>
      <family val="2"/>
      <scheme val="minor"/>
    </font>
    <font>
      <sz val="12"/>
      <color theme="1"/>
      <name val="Aptos"/>
      <family val="2"/>
    </font>
  </fonts>
  <fills count="6">
    <fill>
      <patternFill patternType="none"/>
    </fill>
    <fill>
      <patternFill patternType="gray125"/>
    </fill>
    <fill>
      <patternFill patternType="solid">
        <fgColor theme="0"/>
        <bgColor theme="4" tint="0.59999389629810485"/>
      </patternFill>
    </fill>
    <fill>
      <patternFill patternType="solid">
        <fgColor theme="0"/>
        <bgColor theme="4" tint="0.79998168889431442"/>
      </patternFill>
    </fill>
    <fill>
      <patternFill patternType="solid">
        <fgColor theme="0"/>
        <bgColor indexed="64"/>
      </patternFill>
    </fill>
    <fill>
      <patternFill patternType="solid">
        <fgColor theme="6"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left>
      <right/>
      <top style="thin">
        <color theme="0"/>
      </top>
      <bottom style="thin">
        <color theme="0"/>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165" fontId="0" fillId="0" borderId="0" xfId="0" applyNumberFormat="1"/>
    <xf numFmtId="0" fontId="2" fillId="0" borderId="0" xfId="0" applyFont="1"/>
    <xf numFmtId="165" fontId="0" fillId="3" borderId="2" xfId="0" applyNumberFormat="1" applyFill="1" applyBorder="1"/>
    <xf numFmtId="166" fontId="0" fillId="0" borderId="0" xfId="0" applyNumberFormat="1"/>
    <xf numFmtId="166" fontId="2" fillId="0" borderId="0" xfId="0" applyNumberFormat="1" applyFont="1"/>
    <xf numFmtId="0" fontId="0" fillId="2" borderId="2" xfId="0" applyFill="1" applyBorder="1"/>
    <xf numFmtId="1" fontId="0" fillId="0" borderId="0" xfId="0" applyNumberFormat="1"/>
    <xf numFmtId="14" fontId="1" fillId="0" borderId="0" xfId="0" applyNumberFormat="1" applyFont="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3" fillId="4" borderId="0" xfId="0" applyFont="1" applyFill="1" applyAlignment="1">
      <alignment horizontal="center"/>
    </xf>
    <xf numFmtId="0" fontId="3" fillId="0" borderId="0" xfId="0" applyFont="1"/>
    <xf numFmtId="0" fontId="4" fillId="0" borderId="0" xfId="0" applyFont="1" applyAlignment="1">
      <alignment horizontal="left" vertical="center" indent="1"/>
    </xf>
    <xf numFmtId="0" fontId="0" fillId="5" borderId="0" xfId="0" applyFill="1"/>
    <xf numFmtId="167" fontId="0" fillId="0" borderId="0" xfId="0" applyNumberFormat="1"/>
    <xf numFmtId="0" fontId="0" fillId="0" borderId="0" xfId="0" applyAlignment="1">
      <alignment horizontal="center"/>
    </xf>
  </cellXfs>
  <cellStyles count="1">
    <cellStyle name="Normal" xfId="0" builtinId="0"/>
  </cellStyles>
  <dxfs count="19">
    <dxf>
      <numFmt numFmtId="2" formatCode="0.00"/>
    </dxf>
    <dxf>
      <numFmt numFmtId="2" formatCode="0.00"/>
    </dxf>
    <dxf>
      <numFmt numFmtId="2" formatCode="0.00"/>
    </dxf>
    <dxf>
      <numFmt numFmtId="2" formatCode="0.00"/>
    </dxf>
    <dxf>
      <numFmt numFmtId="167" formatCode="[$₦-466]\ #,##0"/>
    </dxf>
    <dxf>
      <numFmt numFmtId="167" formatCode="[$₦-466]\ #,##0"/>
    </dxf>
    <dxf>
      <numFmt numFmtId="167" formatCode="[$₦-466]\ #,##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1" formatCode="0"/>
    </dxf>
    <dxf>
      <font>
        <b/>
        <i val="0"/>
        <strike val="0"/>
        <condense val="0"/>
        <extend val="0"/>
        <outline val="0"/>
        <shadow val="0"/>
        <u val="none"/>
        <vertAlign val="baseline"/>
        <sz val="11"/>
        <color theme="1"/>
        <name val="Calibri"/>
        <family val="2"/>
        <scheme val="minor"/>
      </font>
    </dxf>
    <dxf>
      <numFmt numFmtId="165" formatCode="&quot;$&quot;#,##0"/>
    </dxf>
    <dxf>
      <numFmt numFmtId="165" formatCode="&quot;$&quot;#,##0"/>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colors>
    <mruColors>
      <color rgb="FF25DB50"/>
      <color rgb="FF2B7738"/>
      <color rgb="FF008000"/>
      <color rgb="FFD1EEB4"/>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[HR_Capstone_Completed_Kaothar_Owolabi.xlsx]Analysis!PivotTable1</c:name>
    <c:fmtId val="7"/>
  </c:pivotSource>
  <c:chart>
    <c:title>
      <c:tx>
        <c:rich>
          <a:bodyPr rot="0" spcFirstLastPara="1" vertOverflow="ellipsis" vert="horz" wrap="square" anchor="ctr" anchorCtr="1"/>
          <a:lstStyle/>
          <a:p>
            <a:pPr algn="ctr" rtl="0">
              <a:defRPr lang="en-US" sz="1600" b="0" i="0" u="none" strike="noStrike" kern="1200" spc="0" baseline="0">
                <a:solidFill>
                  <a:schemeClr val="bg1"/>
                </a:solidFill>
                <a:effectLst/>
                <a:latin typeface="Bahnschrift SemiBold" panose="020B0502040204020203" pitchFamily="34" charset="0"/>
                <a:ea typeface="+mn-ea"/>
                <a:cs typeface="+mn-cs"/>
              </a:defRPr>
            </a:pPr>
            <a:r>
              <a:rPr lang="en-US" sz="1600" b="0" i="0" u="none" strike="noStrike" kern="1200" spc="0" baseline="0">
                <a:solidFill>
                  <a:schemeClr val="bg1"/>
                </a:solidFill>
                <a:effectLst/>
                <a:latin typeface="Bahnschrift SemiBold" panose="020B0502040204020203" pitchFamily="34" charset="0"/>
                <a:ea typeface="+mn-ea"/>
                <a:cs typeface="+mn-cs"/>
              </a:rPr>
              <a:t>Bonus Payout by Performance Band</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chemeClr val="bg1"/>
              </a:solidFill>
              <a:effectLst/>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Analysis!$F$15</c:f>
              <c:strCache>
                <c:ptCount val="1"/>
                <c:pt idx="0">
                  <c:v>Total</c:v>
                </c:pt>
              </c:strCache>
            </c:strRef>
          </c:tx>
          <c:spPr>
            <a:solidFill>
              <a:srgbClr val="008000"/>
            </a:solidFill>
            <a:ln>
              <a:noFill/>
            </a:ln>
            <a:effectLst/>
          </c:spPr>
          <c:invertIfNegative val="0"/>
          <c:cat>
            <c:strRef>
              <c:f>Analysis!$E$16:$E$21</c:f>
              <c:strCache>
                <c:ptCount val="5"/>
                <c:pt idx="0">
                  <c:v>Achieving</c:v>
                </c:pt>
                <c:pt idx="1">
                  <c:v>Exceeding</c:v>
                </c:pt>
                <c:pt idx="2">
                  <c:v>Outstanding</c:v>
                </c:pt>
                <c:pt idx="3">
                  <c:v>Developing</c:v>
                </c:pt>
                <c:pt idx="4">
                  <c:v>Needs Improvement</c:v>
                </c:pt>
              </c:strCache>
            </c:strRef>
          </c:cat>
          <c:val>
            <c:numRef>
              <c:f>Analysis!$F$16:$F$21</c:f>
              <c:numCache>
                <c:formatCode>[$₦-466]\ #,##0</c:formatCode>
                <c:ptCount val="5"/>
                <c:pt idx="0">
                  <c:v>161571.99938548284</c:v>
                </c:pt>
                <c:pt idx="1">
                  <c:v>142974.0486247878</c:v>
                </c:pt>
                <c:pt idx="2">
                  <c:v>90647.180000000008</c:v>
                </c:pt>
                <c:pt idx="3">
                  <c:v>82050.113991144841</c:v>
                </c:pt>
                <c:pt idx="4">
                  <c:v>0</c:v>
                </c:pt>
              </c:numCache>
            </c:numRef>
          </c:val>
          <c:extLst>
            <c:ext xmlns:c16="http://schemas.microsoft.com/office/drawing/2014/chart" uri="{C3380CC4-5D6E-409C-BE32-E72D297353CC}">
              <c16:uniqueId val="{00000000-1242-4E55-A874-45A2C732A264}"/>
            </c:ext>
          </c:extLst>
        </c:ser>
        <c:dLbls>
          <c:showLegendKey val="0"/>
          <c:showVal val="0"/>
          <c:showCatName val="0"/>
          <c:showSerName val="0"/>
          <c:showPercent val="0"/>
          <c:showBubbleSize val="0"/>
        </c:dLbls>
        <c:gapWidth val="219"/>
        <c:overlap val="-27"/>
        <c:axId val="483890976"/>
        <c:axId val="483888096"/>
      </c:barChart>
      <c:catAx>
        <c:axId val="483890976"/>
        <c:scaling>
          <c:orientation val="minMax"/>
        </c:scaling>
        <c:delete val="1"/>
        <c:axPos val="b"/>
        <c:numFmt formatCode="General" sourceLinked="1"/>
        <c:majorTickMark val="none"/>
        <c:minorTickMark val="none"/>
        <c:tickLblPos val="nextTo"/>
        <c:crossAx val="483888096"/>
        <c:crosses val="autoZero"/>
        <c:auto val="1"/>
        <c:lblAlgn val="ctr"/>
        <c:lblOffset val="100"/>
        <c:noMultiLvlLbl val="0"/>
      </c:catAx>
      <c:valAx>
        <c:axId val="483888096"/>
        <c:scaling>
          <c:orientation val="minMax"/>
        </c:scaling>
        <c:delete val="1"/>
        <c:axPos val="l"/>
        <c:numFmt formatCode="[$₦-466]\ #,##0" sourceLinked="1"/>
        <c:majorTickMark val="none"/>
        <c:minorTickMark val="none"/>
        <c:tickLblPos val="nextTo"/>
        <c:crossAx val="48389097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lgn="ctr" rtl="0">
              <a:defRPr lang="en-US" sz="900" b="1" i="0" u="none" strike="noStrike" kern="1200" baseline="0">
                <a:solidFill>
                  <a:schemeClr val="bg1"/>
                </a:solidFill>
                <a:latin typeface="Bahnschrift SemiBold" panose="020B0502040204020203" pitchFamily="34" charset="0"/>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no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[HR_Capstone_Completed_Kaothar_Owolabi.xlsx]Analysis!PivotTable4</c:name>
    <c:fmtId val="9"/>
  </c:pivotSource>
  <c:chart>
    <c:title>
      <c:tx>
        <c:rich>
          <a:bodyPr rot="0" spcFirstLastPara="1" vertOverflow="ellipsis" vert="horz" wrap="square" anchor="ctr" anchorCtr="1"/>
          <a:lstStyle/>
          <a:p>
            <a:pPr algn="ctr" rtl="0">
              <a:defRPr lang="en-US" sz="1600" b="0" i="0" u="none" strike="noStrike" kern="1200" spc="0" baseline="0">
                <a:solidFill>
                  <a:schemeClr val="bg1"/>
                </a:solidFill>
                <a:effectLst/>
                <a:latin typeface="Bahnschrift SemiBold" panose="020B0502040204020203" pitchFamily="34" charset="0"/>
                <a:ea typeface="+mn-ea"/>
                <a:cs typeface="+mn-cs"/>
              </a:defRPr>
            </a:pPr>
            <a:r>
              <a:rPr lang="en-US" sz="1600" b="0" i="0" u="none" strike="noStrike" kern="1200" spc="0" baseline="0">
                <a:solidFill>
                  <a:schemeClr val="bg1"/>
                </a:solidFill>
                <a:effectLst/>
                <a:latin typeface="Bahnschrift SemiBold" panose="020B0502040204020203" pitchFamily="34" charset="0"/>
                <a:ea typeface="+mn-ea"/>
                <a:cs typeface="+mn-cs"/>
              </a:rPr>
              <a:t>Percentage Performance Score by Employment Status</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chemeClr val="bg1"/>
              </a:solidFill>
              <a:effectLst/>
              <a:latin typeface="Bahnschrift SemiBold" panose="020B0502040204020203"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B7738"/>
          </a:solidFill>
          <a:ln w="25400">
            <a:solidFill>
              <a:schemeClr val="lt1"/>
            </a:solidFill>
          </a:ln>
          <a:effectLst/>
          <a:sp3d contourW="25400">
            <a:contourClr>
              <a:schemeClr val="lt1"/>
            </a:contourClr>
          </a:sp3d>
        </c:spPr>
      </c:pivotFmt>
      <c:pivotFmt>
        <c:idx val="2"/>
        <c:spPr>
          <a:solidFill>
            <a:srgbClr val="00B050"/>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w="25400">
            <a:solidFill>
              <a:schemeClr val="lt1"/>
            </a:solidFill>
          </a:ln>
          <a:effectLst/>
          <a:sp3d contourW="25400">
            <a:contourClr>
              <a:schemeClr val="lt1"/>
            </a:contourClr>
          </a:sp3d>
        </c:spPr>
      </c:pivotFmt>
      <c:pivotFmt>
        <c:idx val="5"/>
        <c:spPr>
          <a:solidFill>
            <a:srgbClr val="2B7738"/>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bg1"/>
                  </a:solidFill>
                  <a:latin typeface="Bahnschrift SemiBold" panose="020B0502040204020203"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B05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bg1"/>
                  </a:solidFill>
                  <a:latin typeface="Bahnschrift SemiBold" panose="020B0502040204020203"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498718660167479"/>
                  <c:h val="0.33248463702516229"/>
                </c:manualLayout>
              </c15:layout>
            </c:ext>
          </c:extLst>
        </c:dLbl>
      </c:pivotFmt>
      <c:pivotFmt>
        <c:idx val="9"/>
        <c:spPr>
          <a:solidFill>
            <a:srgbClr val="2B7738"/>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bg1"/>
                  </a:solidFill>
                  <a:latin typeface="Bahnschrift SemiBold" panose="020B0502040204020203"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7326354205724287"/>
                  <c:h val="0.22261492762506482"/>
                </c:manualLayout>
              </c15:layout>
            </c:ext>
          </c:extLst>
        </c:dLbl>
      </c:pivotFmt>
      <c:pivotFmt>
        <c:idx val="10"/>
        <c:spPr>
          <a:solidFill>
            <a:srgbClr val="25DB5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bg1"/>
                  </a:solidFill>
                  <a:latin typeface="Bahnschrift SemiBold" panose="020B0502040204020203"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9868956380452443"/>
                  <c:h val="0.31043927892247003"/>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Analysis!$B$15</c:f>
              <c:strCache>
                <c:ptCount val="1"/>
                <c:pt idx="0">
                  <c:v>Total</c:v>
                </c:pt>
              </c:strCache>
            </c:strRef>
          </c:tx>
          <c:dPt>
            <c:idx val="0"/>
            <c:bubble3D val="0"/>
            <c:spPr>
              <a:solidFill>
                <a:srgbClr val="00B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5825-40B6-9F1B-297C7E635FA5}"/>
              </c:ext>
            </c:extLst>
          </c:dPt>
          <c:dPt>
            <c:idx val="1"/>
            <c:bubble3D val="0"/>
            <c:spPr>
              <a:solidFill>
                <a:srgbClr val="2B7738"/>
              </a:solidFill>
              <a:ln w="25400">
                <a:solidFill>
                  <a:schemeClr val="lt1"/>
                </a:solidFill>
              </a:ln>
              <a:effectLst/>
              <a:sp3d contourW="25400">
                <a:contourClr>
                  <a:schemeClr val="lt1"/>
                </a:contourClr>
              </a:sp3d>
            </c:spPr>
            <c:extLst>
              <c:ext xmlns:c16="http://schemas.microsoft.com/office/drawing/2014/chart" uri="{C3380CC4-5D6E-409C-BE32-E72D297353CC}">
                <c16:uniqueId val="{00000003-5825-40B6-9F1B-297C7E635FA5}"/>
              </c:ext>
            </c:extLst>
          </c:dPt>
          <c:dPt>
            <c:idx val="2"/>
            <c:bubble3D val="0"/>
            <c:spPr>
              <a:solidFill>
                <a:srgbClr val="25DB50"/>
              </a:solidFill>
              <a:ln w="25400">
                <a:solidFill>
                  <a:schemeClr val="lt1"/>
                </a:solidFill>
              </a:ln>
              <a:effectLst/>
              <a:sp3d contourW="25400">
                <a:contourClr>
                  <a:schemeClr val="lt1"/>
                </a:contourClr>
              </a:sp3d>
            </c:spPr>
            <c:extLst>
              <c:ext xmlns:c16="http://schemas.microsoft.com/office/drawing/2014/chart" uri="{C3380CC4-5D6E-409C-BE32-E72D297353CC}">
                <c16:uniqueId val="{00000005-5825-40B6-9F1B-297C7E635FA5}"/>
              </c:ext>
            </c:extLst>
          </c:dPt>
          <c:dLbls>
            <c:dLbl>
              <c:idx val="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bg1"/>
                      </a:solidFill>
                      <a:latin typeface="Bahnschrift SemiBold" panose="020B0502040204020203"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498718660167479"/>
                      <c:h val="0.33248463702516229"/>
                    </c:manualLayout>
                  </c15:layout>
                </c:ext>
                <c:ext xmlns:c16="http://schemas.microsoft.com/office/drawing/2014/chart" uri="{C3380CC4-5D6E-409C-BE32-E72D297353CC}">
                  <c16:uniqueId val="{00000001-5825-40B6-9F1B-297C7E635FA5}"/>
                </c:ext>
              </c:extLst>
            </c:dLbl>
            <c:dLbl>
              <c:idx val="1"/>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bg1"/>
                      </a:solidFill>
                      <a:latin typeface="Bahnschrift SemiBold" panose="020B0502040204020203"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7326354205724287"/>
                      <c:h val="0.22261492762506482"/>
                    </c:manualLayout>
                  </c15:layout>
                </c:ext>
                <c:ext xmlns:c16="http://schemas.microsoft.com/office/drawing/2014/chart" uri="{C3380CC4-5D6E-409C-BE32-E72D297353CC}">
                  <c16:uniqueId val="{00000003-5825-40B6-9F1B-297C7E635FA5}"/>
                </c:ext>
              </c:extLst>
            </c:dLbl>
            <c:dLbl>
              <c:idx val="2"/>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bg1"/>
                      </a:solidFill>
                      <a:latin typeface="Bahnschrift SemiBold" panose="020B0502040204020203"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9868956380452443"/>
                      <c:h val="0.31043927892247003"/>
                    </c:manualLayout>
                  </c15:layout>
                </c:ext>
                <c:ext xmlns:c16="http://schemas.microsoft.com/office/drawing/2014/chart" uri="{C3380CC4-5D6E-409C-BE32-E72D297353CC}">
                  <c16:uniqueId val="{00000005-5825-40B6-9F1B-297C7E635FA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bg1"/>
                    </a:solidFill>
                    <a:latin typeface="Bahnschrift SemiBold" panose="020B0502040204020203"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Analysis!$A$16:$A$19</c:f>
              <c:strCache>
                <c:ptCount val="3"/>
                <c:pt idx="0">
                  <c:v>Resigned</c:v>
                </c:pt>
                <c:pt idx="1">
                  <c:v>Active</c:v>
                </c:pt>
                <c:pt idx="2">
                  <c:v>Left</c:v>
                </c:pt>
              </c:strCache>
            </c:strRef>
          </c:cat>
          <c:val>
            <c:numRef>
              <c:f>Analysis!$B$16:$B$19</c:f>
              <c:numCache>
                <c:formatCode>0.00</c:formatCode>
                <c:ptCount val="3"/>
                <c:pt idx="0">
                  <c:v>76.400000000000006</c:v>
                </c:pt>
                <c:pt idx="1">
                  <c:v>67.417422867513608</c:v>
                </c:pt>
                <c:pt idx="2">
                  <c:v>66.020833333333329</c:v>
                </c:pt>
              </c:numCache>
            </c:numRef>
          </c:val>
          <c:extLst>
            <c:ext xmlns:c16="http://schemas.microsoft.com/office/drawing/2014/chart" uri="{C3380CC4-5D6E-409C-BE32-E72D297353CC}">
              <c16:uniqueId val="{00000006-5825-40B6-9F1B-297C7E635FA5}"/>
            </c:ext>
          </c:extLst>
        </c:ser>
        <c:dLbls>
          <c:dLblPos val="ctr"/>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0" i="0" u="none" strike="noStrike" kern="1200" cap="all" spc="0" normalizeH="0" baseline="0">
                <a:solidFill>
                  <a:schemeClr val="bg1"/>
                </a:solidFill>
                <a:effectLst/>
                <a:latin typeface="Bahnschrift SemiBold" panose="020B0502040204020203" pitchFamily="34" charset="0"/>
                <a:ea typeface="+mn-ea"/>
                <a:cs typeface="+mn-cs"/>
              </a:defRPr>
            </a:pPr>
            <a:r>
              <a:rPr lang="en-US" sz="1600" b="0" i="0" u="none" strike="noStrike" kern="1200" spc="0" baseline="0">
                <a:solidFill>
                  <a:schemeClr val="bg1"/>
                </a:solidFill>
                <a:effectLst/>
                <a:latin typeface="Bahnschrift SemiBold" panose="020B0502040204020203" pitchFamily="34" charset="0"/>
                <a:ea typeface="+mn-ea"/>
                <a:cs typeface="+mn-cs"/>
              </a:rPr>
              <a:t>Average Performance Score by Hire YeaR</a:t>
            </a:r>
          </a:p>
        </c:rich>
      </c:tx>
      <c:overlay val="0"/>
      <c:spPr>
        <a:noFill/>
        <a:ln>
          <a:noFill/>
        </a:ln>
        <a:effectLst/>
      </c:spPr>
      <c:txPr>
        <a:bodyPr rot="0" spcFirstLastPara="1" vertOverflow="ellipsis" vert="horz" wrap="square" anchor="ctr" anchorCtr="1"/>
        <a:lstStyle/>
        <a:p>
          <a:pPr algn="ctr" rtl="0">
            <a:defRPr lang="en-US" sz="1600" b="0" i="0" u="none" strike="noStrike" kern="1200" cap="all" spc="0" normalizeH="0" baseline="0">
              <a:solidFill>
                <a:schemeClr val="bg1"/>
              </a:solidFill>
              <a:effectLst/>
              <a:latin typeface="Bahnschrift SemiBold" panose="020B050204020402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Lit>
              <c:ptCount val="9"/>
              <c:pt idx="0">
                <c:v>2015</c:v>
              </c:pt>
              <c:pt idx="1">
                <c:v>2016</c:v>
              </c:pt>
              <c:pt idx="2">
                <c:v>2017</c:v>
              </c:pt>
              <c:pt idx="3">
                <c:v>2018</c:v>
              </c:pt>
              <c:pt idx="4">
                <c:v>2019</c:v>
              </c:pt>
              <c:pt idx="5">
                <c:v>2020</c:v>
              </c:pt>
              <c:pt idx="6">
                <c:v>2021</c:v>
              </c:pt>
              <c:pt idx="7">
                <c:v>2022</c:v>
              </c:pt>
              <c:pt idx="8">
                <c:v>2023</c:v>
              </c:pt>
            </c:strLit>
          </c:cat>
          <c:val>
            <c:numLit>
              <c:formatCode>General</c:formatCode>
              <c:ptCount val="9"/>
              <c:pt idx="0">
                <c:v>70.230769230769226</c:v>
              </c:pt>
              <c:pt idx="1">
                <c:v>64.470588235294116</c:v>
              </c:pt>
              <c:pt idx="2">
                <c:v>65.368421052631575</c:v>
              </c:pt>
              <c:pt idx="3">
                <c:v>65.777777777777771</c:v>
              </c:pt>
              <c:pt idx="4">
                <c:v>74.09210526315789</c:v>
              </c:pt>
              <c:pt idx="5">
                <c:v>67.204334365325067</c:v>
              </c:pt>
              <c:pt idx="6">
                <c:v>63.533333333333331</c:v>
              </c:pt>
              <c:pt idx="7">
                <c:v>71.026315789473685</c:v>
              </c:pt>
              <c:pt idx="8">
                <c:v>69.088235294117652</c:v>
              </c:pt>
            </c:numLit>
          </c:val>
          <c:smooth val="0"/>
          <c:extLst>
            <c:ext xmlns:c16="http://schemas.microsoft.com/office/drawing/2014/chart" uri="{C3380CC4-5D6E-409C-BE32-E72D297353CC}">
              <c16:uniqueId val="{00000000-C583-4ABB-8298-4DF57EF8AC5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88319584"/>
        <c:axId val="488317184"/>
      </c:lineChart>
      <c:catAx>
        <c:axId val="4883195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lgn="ctr">
              <a:defRPr lang="en-US" sz="900" b="0" i="0" u="none" strike="noStrike" kern="1200" spc="100" baseline="0">
                <a:solidFill>
                  <a:schemeClr val="bg1"/>
                </a:solidFill>
                <a:latin typeface="Bahnschrift SemiBold" panose="020B0502040204020203" pitchFamily="34" charset="0"/>
                <a:ea typeface="+mn-ea"/>
                <a:cs typeface="+mn-cs"/>
              </a:defRPr>
            </a:pPr>
            <a:endParaRPr lang="en-US"/>
          </a:p>
        </c:txPr>
        <c:crossAx val="488317184"/>
        <c:crosses val="autoZero"/>
        <c:auto val="1"/>
        <c:lblAlgn val="ctr"/>
        <c:lblOffset val="100"/>
        <c:noMultiLvlLbl val="0"/>
      </c:catAx>
      <c:valAx>
        <c:axId val="488317184"/>
        <c:scaling>
          <c:orientation val="minMax"/>
        </c:scaling>
        <c:delete val="1"/>
        <c:axPos val="l"/>
        <c:numFmt formatCode="General" sourceLinked="1"/>
        <c:majorTickMark val="none"/>
        <c:minorTickMark val="none"/>
        <c:tickLblPos val="nextTo"/>
        <c:crossAx val="48831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0" i="0" u="none" strike="noStrike" kern="1200" spc="0" baseline="0">
                <a:solidFill>
                  <a:schemeClr val="bg1"/>
                </a:solidFill>
                <a:effectLst/>
                <a:latin typeface="Bahnschrift SemiBold" panose="020B0502040204020203" pitchFamily="34" charset="0"/>
                <a:ea typeface="+mn-ea"/>
                <a:cs typeface="+mn-cs"/>
              </a:defRPr>
            </a:pPr>
            <a:r>
              <a:rPr lang="en-US" sz="1600" b="0" i="0" u="none" strike="noStrike" kern="1200" spc="0" baseline="0">
                <a:solidFill>
                  <a:schemeClr val="bg1"/>
                </a:solidFill>
                <a:effectLst/>
                <a:latin typeface="Bahnschrift SemiBold" panose="020B0502040204020203" pitchFamily="34" charset="0"/>
                <a:ea typeface="+mn-ea"/>
                <a:cs typeface="+mn-cs"/>
              </a:rPr>
              <a:t>Employee Hiring Trend by Year</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chemeClr val="bg1"/>
              </a:solidFill>
              <a:effectLst/>
              <a:latin typeface="Bahnschrift SemiBold" panose="020B050204020402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rgbClr val="2B7738"/>
            </a:solidFill>
            <a:round/>
          </a:ln>
          <a:effectLst>
            <a:outerShdw blurRad="40000" dist="23000" dir="5400000" rotWithShape="0">
              <a:srgbClr val="000000">
                <a:alpha val="35000"/>
              </a:srgbClr>
            </a:outerShdw>
          </a:effectLst>
        </c:spPr>
        <c:marker>
          <c:spPr>
            <a:solidFill>
              <a:srgbClr val="008000"/>
            </a:solidFill>
            <a:ln w="12700">
              <a:solidFill>
                <a:srgbClr val="2B7738"/>
              </a:solidFill>
              <a:round/>
            </a:ln>
            <a:effectLst>
              <a:outerShdw blurRad="40000" dist="23000" dir="5400000" rotWithShape="0">
                <a:srgbClr val="000000">
                  <a:alpha val="3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rgbClr val="2B7738"/>
              </a:solidFill>
              <a:round/>
            </a:ln>
            <a:effectLst>
              <a:outerShdw blurRad="40000" dist="23000" dir="5400000" rotWithShape="0">
                <a:srgbClr val="000000">
                  <a:alpha val="35000"/>
                </a:srgbClr>
              </a:outerShdw>
            </a:effectLst>
          </c:spPr>
          <c:marker>
            <c:symbol val="circle"/>
            <c:size val="6"/>
            <c:spPr>
              <a:solidFill>
                <a:srgbClr val="008000"/>
              </a:solidFill>
              <a:ln w="12700">
                <a:solidFill>
                  <a:srgbClr val="2B7738"/>
                </a:solidFill>
                <a:round/>
              </a:ln>
              <a:effectLst>
                <a:outerShdw blurRad="40000" dist="23000" dir="5400000" rotWithShape="0">
                  <a:srgbClr val="000000">
                    <a:alpha val="35000"/>
                  </a:srgbClr>
                </a:outerShdw>
              </a:effectLst>
            </c:spPr>
          </c:marker>
          <c:cat>
            <c:strLit>
              <c:ptCount val="9"/>
              <c:pt idx="0">
                <c:v>2015</c:v>
              </c:pt>
              <c:pt idx="1">
                <c:v>2016</c:v>
              </c:pt>
              <c:pt idx="2">
                <c:v>2017</c:v>
              </c:pt>
              <c:pt idx="3">
                <c:v>2018</c:v>
              </c:pt>
              <c:pt idx="4">
                <c:v>2019</c:v>
              </c:pt>
              <c:pt idx="5">
                <c:v>2020</c:v>
              </c:pt>
              <c:pt idx="6">
                <c:v>2021</c:v>
              </c:pt>
              <c:pt idx="7">
                <c:v>2022</c:v>
              </c:pt>
              <c:pt idx="8">
                <c:v>2023</c:v>
              </c:pt>
            </c:strLit>
          </c:cat>
          <c:val>
            <c:numLit>
              <c:formatCode>General</c:formatCode>
              <c:ptCount val="9"/>
              <c:pt idx="0">
                <c:v>13</c:v>
              </c:pt>
              <c:pt idx="1">
                <c:v>17</c:v>
              </c:pt>
              <c:pt idx="2">
                <c:v>19</c:v>
              </c:pt>
              <c:pt idx="3">
                <c:v>18</c:v>
              </c:pt>
              <c:pt idx="4">
                <c:v>16</c:v>
              </c:pt>
              <c:pt idx="5">
                <c:v>17</c:v>
              </c:pt>
              <c:pt idx="6">
                <c:v>15</c:v>
              </c:pt>
              <c:pt idx="7">
                <c:v>18</c:v>
              </c:pt>
              <c:pt idx="8">
                <c:v>17</c:v>
              </c:pt>
            </c:numLit>
          </c:val>
          <c:smooth val="0"/>
          <c:extLst>
            <c:ext xmlns:c16="http://schemas.microsoft.com/office/drawing/2014/chart" uri="{C3380CC4-5D6E-409C-BE32-E72D297353CC}">
              <c16:uniqueId val="{00000000-369A-48A0-892D-E53DE45B91D7}"/>
            </c:ext>
          </c:extLst>
        </c:ser>
        <c:dLbls>
          <c:showLegendKey val="0"/>
          <c:showVal val="0"/>
          <c:showCatName val="0"/>
          <c:showSerName val="0"/>
          <c:showPercent val="0"/>
          <c:showBubbleSize val="0"/>
        </c:dLbls>
        <c:marker val="1"/>
        <c:smooth val="0"/>
        <c:axId val="432191376"/>
        <c:axId val="432188016"/>
      </c:lineChart>
      <c:catAx>
        <c:axId val="43219137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bg1"/>
                </a:solidFill>
                <a:latin typeface="Bahnschrift SemiBold" panose="020B0502040204020203" pitchFamily="34" charset="0"/>
                <a:ea typeface="+mn-ea"/>
                <a:cs typeface="+mn-cs"/>
              </a:defRPr>
            </a:pPr>
            <a:endParaRPr lang="en-US"/>
          </a:p>
        </c:txPr>
        <c:crossAx val="432188016"/>
        <c:crosses val="autoZero"/>
        <c:auto val="1"/>
        <c:lblAlgn val="ctr"/>
        <c:lblOffset val="100"/>
        <c:noMultiLvlLbl val="0"/>
      </c:catAx>
      <c:valAx>
        <c:axId val="432188016"/>
        <c:scaling>
          <c:orientation val="minMax"/>
        </c:scaling>
        <c:delete val="1"/>
        <c:axPos val="l"/>
        <c:numFmt formatCode="General" sourceLinked="1"/>
        <c:majorTickMark val="none"/>
        <c:minorTickMark val="none"/>
        <c:tickLblPos val="nextTo"/>
        <c:crossAx val="43219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[HR_Capstone_Completed_Kaothar_Owolabi.xlsx]Analysis!PivotTable7</c:name>
    <c:fmtId val="19"/>
  </c:pivotSource>
  <c:chart>
    <c:title>
      <c:tx>
        <c:rich>
          <a:bodyPr rot="0" spcFirstLastPara="1" vertOverflow="ellipsis" vert="horz" wrap="square" anchor="ctr" anchorCtr="1"/>
          <a:lstStyle/>
          <a:p>
            <a:pPr algn="ctr" rtl="0">
              <a:defRPr lang="en-US" sz="1600" b="0" i="0" u="none" strike="noStrike" kern="1200" spc="0" baseline="0">
                <a:solidFill>
                  <a:schemeClr val="bg1"/>
                </a:solidFill>
                <a:effectLst/>
                <a:latin typeface="Bahnschrift SemiBold" panose="020B0502040204020203" pitchFamily="34" charset="0"/>
                <a:ea typeface="+mn-ea"/>
                <a:cs typeface="+mn-cs"/>
              </a:defRPr>
            </a:pPr>
            <a:r>
              <a:rPr lang="en-US" sz="1600" b="0" i="0" u="none" strike="noStrike" kern="1200" spc="0" baseline="0">
                <a:solidFill>
                  <a:schemeClr val="bg1"/>
                </a:solidFill>
                <a:effectLst/>
                <a:latin typeface="Bahnschrift SemiBold" panose="020B0502040204020203" pitchFamily="34" charset="0"/>
                <a:ea typeface="+mn-ea"/>
                <a:cs typeface="+mn-cs"/>
              </a:rPr>
              <a:t>Average Performance Score by Department</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chemeClr val="bg1"/>
              </a:solidFill>
              <a:effectLst/>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77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Analysis!$F$26</c:f>
              <c:strCache>
                <c:ptCount val="1"/>
                <c:pt idx="0">
                  <c:v>Total</c:v>
                </c:pt>
              </c:strCache>
            </c:strRef>
          </c:tx>
          <c:spPr>
            <a:solidFill>
              <a:srgbClr val="2B7738"/>
            </a:solidFill>
            <a:ln>
              <a:noFill/>
            </a:ln>
            <a:effectLst/>
          </c:spPr>
          <c:invertIfNegative val="0"/>
          <c:cat>
            <c:strRef>
              <c:f>Analysis!$E$27:$E$33</c:f>
              <c:strCache>
                <c:ptCount val="6"/>
                <c:pt idx="0">
                  <c:v>Marketing</c:v>
                </c:pt>
                <c:pt idx="1">
                  <c:v>Human Resources</c:v>
                </c:pt>
                <c:pt idx="2">
                  <c:v>Operations</c:v>
                </c:pt>
                <c:pt idx="3">
                  <c:v>Finance</c:v>
                </c:pt>
                <c:pt idx="4">
                  <c:v>Information Technology</c:v>
                </c:pt>
                <c:pt idx="5">
                  <c:v>Sales</c:v>
                </c:pt>
              </c:strCache>
            </c:strRef>
          </c:cat>
          <c:val>
            <c:numRef>
              <c:f>Analysis!$F$27:$F$33</c:f>
              <c:numCache>
                <c:formatCode>0.00</c:formatCode>
                <c:ptCount val="6"/>
                <c:pt idx="0">
                  <c:v>72.337950138504155</c:v>
                </c:pt>
                <c:pt idx="1">
                  <c:v>71</c:v>
                </c:pt>
                <c:pt idx="2">
                  <c:v>69.41379310344827</c:v>
                </c:pt>
                <c:pt idx="3">
                  <c:v>68.941176470588232</c:v>
                </c:pt>
                <c:pt idx="4">
                  <c:v>65.263888888888886</c:v>
                </c:pt>
                <c:pt idx="5">
                  <c:v>63.935483870967744</c:v>
                </c:pt>
              </c:numCache>
            </c:numRef>
          </c:val>
          <c:extLst>
            <c:ext xmlns:c16="http://schemas.microsoft.com/office/drawing/2014/chart" uri="{C3380CC4-5D6E-409C-BE32-E72D297353CC}">
              <c16:uniqueId val="{00000000-1D89-43EB-A1D4-4795AC7CE27C}"/>
            </c:ext>
          </c:extLst>
        </c:ser>
        <c:dLbls>
          <c:showLegendKey val="0"/>
          <c:showVal val="0"/>
          <c:showCatName val="0"/>
          <c:showSerName val="0"/>
          <c:showPercent val="0"/>
          <c:showBubbleSize val="0"/>
        </c:dLbls>
        <c:gapWidth val="219"/>
        <c:overlap val="-27"/>
        <c:axId val="1331844143"/>
        <c:axId val="1331844623"/>
      </c:barChart>
      <c:catAx>
        <c:axId val="133184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effectLst/>
                <a:latin typeface="Bahnschrift SemiBold" panose="020B0502040204020203" pitchFamily="34" charset="0"/>
                <a:ea typeface="+mn-ea"/>
                <a:cs typeface="+mn-cs"/>
              </a:defRPr>
            </a:pPr>
            <a:endParaRPr lang="en-US"/>
          </a:p>
        </c:txPr>
        <c:crossAx val="1331844623"/>
        <c:crosses val="autoZero"/>
        <c:auto val="1"/>
        <c:lblAlgn val="ctr"/>
        <c:lblOffset val="100"/>
        <c:noMultiLvlLbl val="0"/>
      </c:catAx>
      <c:valAx>
        <c:axId val="1331844623"/>
        <c:scaling>
          <c:orientation val="minMax"/>
        </c:scaling>
        <c:delete val="1"/>
        <c:axPos val="l"/>
        <c:numFmt formatCode="0.00" sourceLinked="1"/>
        <c:majorTickMark val="none"/>
        <c:minorTickMark val="none"/>
        <c:tickLblPos val="nextTo"/>
        <c:crossAx val="133184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181200</xdr:colOff>
      <xdr:row>3</xdr:row>
      <xdr:rowOff>99680</xdr:rowOff>
    </xdr:from>
    <xdr:to>
      <xdr:col>19</xdr:col>
      <xdr:colOff>466950</xdr:colOff>
      <xdr:row>37</xdr:row>
      <xdr:rowOff>0</xdr:rowOff>
    </xdr:to>
    <xdr:sp macro="" textlink="">
      <xdr:nvSpPr>
        <xdr:cNvPr id="5" name="Rectangle: Rounded Corners 4">
          <a:extLst>
            <a:ext uri="{FF2B5EF4-FFF2-40B4-BE49-F238E27FC236}">
              <a16:creationId xmlns:a16="http://schemas.microsoft.com/office/drawing/2014/main" id="{673BBA9B-BE83-09CE-773D-3A823CA9B891}"/>
            </a:ext>
          </a:extLst>
        </xdr:cNvPr>
        <xdr:cNvSpPr/>
      </xdr:nvSpPr>
      <xdr:spPr>
        <a:xfrm>
          <a:off x="10536869" y="664535"/>
          <a:ext cx="1504064" cy="6302006"/>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222398</xdr:colOff>
      <xdr:row>4</xdr:row>
      <xdr:rowOff>54271</xdr:rowOff>
    </xdr:from>
    <xdr:to>
      <xdr:col>19</xdr:col>
      <xdr:colOff>422422</xdr:colOff>
      <xdr:row>13</xdr:row>
      <xdr:rowOff>54271</xdr:rowOff>
    </xdr:to>
    <mc:AlternateContent xmlns:mc="http://schemas.openxmlformats.org/markup-compatibility/2006" xmlns:a14="http://schemas.microsoft.com/office/drawing/2010/main">
      <mc:Choice Requires="a14">
        <xdr:graphicFrame macro="">
          <xdr:nvGraphicFramePr>
            <xdr:cNvPr id="21" name="Department Name">
              <a:extLst>
                <a:ext uri="{FF2B5EF4-FFF2-40B4-BE49-F238E27FC236}">
                  <a16:creationId xmlns:a16="http://schemas.microsoft.com/office/drawing/2014/main" id="{A467F110-C839-03EF-4F6B-7F1A43CFC4EB}"/>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10545117" y="816271"/>
              <a:ext cx="1414461"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223947</xdr:colOff>
      <xdr:row>13</xdr:row>
      <xdr:rowOff>121833</xdr:rowOff>
    </xdr:from>
    <xdr:to>
      <xdr:col>19</xdr:col>
      <xdr:colOff>452547</xdr:colOff>
      <xdr:row>22</xdr:row>
      <xdr:rowOff>66898</xdr:rowOff>
    </xdr:to>
    <mc:AlternateContent xmlns:mc="http://schemas.openxmlformats.org/markup-compatibility/2006" xmlns:a14="http://schemas.microsoft.com/office/drawing/2010/main">
      <mc:Choice Requires="a14">
        <xdr:graphicFrame macro="">
          <xdr:nvGraphicFramePr>
            <xdr:cNvPr id="23" name="Years (Hire Date)">
              <a:extLst>
                <a:ext uri="{FF2B5EF4-FFF2-40B4-BE49-F238E27FC236}">
                  <a16:creationId xmlns:a16="http://schemas.microsoft.com/office/drawing/2014/main" id="{70AF8F3C-DFD0-B3B3-55F9-5DBD2BBE0AA4}"/>
                </a:ext>
              </a:extLst>
            </xdr:cNvPr>
            <xdr:cNvGraphicFramePr/>
          </xdr:nvGraphicFramePr>
          <xdr:xfrm>
            <a:off x="0" y="0"/>
            <a:ext cx="0" cy="0"/>
          </xdr:xfrm>
          <a:graphic>
            <a:graphicData uri="http://schemas.microsoft.com/office/drawing/2010/slicer">
              <sle:slicer xmlns:sle="http://schemas.microsoft.com/office/drawing/2010/slicer" name="Years (Hire Date)"/>
            </a:graphicData>
          </a:graphic>
        </xdr:graphicFrame>
      </mc:Choice>
      <mc:Fallback xmlns="">
        <xdr:sp macro="" textlink="">
          <xdr:nvSpPr>
            <xdr:cNvPr id="0" name=""/>
            <xdr:cNvSpPr>
              <a:spLocks noTextEdit="1"/>
            </xdr:cNvSpPr>
          </xdr:nvSpPr>
          <xdr:spPr>
            <a:xfrm>
              <a:off x="10546666" y="2598333"/>
              <a:ext cx="1443037" cy="1659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223949</xdr:colOff>
      <xdr:row>22</xdr:row>
      <xdr:rowOff>155059</xdr:rowOff>
    </xdr:from>
    <xdr:to>
      <xdr:col>19</xdr:col>
      <xdr:colOff>433499</xdr:colOff>
      <xdr:row>30</xdr:row>
      <xdr:rowOff>90599</xdr:rowOff>
    </xdr:to>
    <mc:AlternateContent xmlns:mc="http://schemas.openxmlformats.org/markup-compatibility/2006" xmlns:a14="http://schemas.microsoft.com/office/drawing/2010/main">
      <mc:Choice Requires="a14">
        <xdr:graphicFrame macro="">
          <xdr:nvGraphicFramePr>
            <xdr:cNvPr id="24" name="Performance Band">
              <a:extLst>
                <a:ext uri="{FF2B5EF4-FFF2-40B4-BE49-F238E27FC236}">
                  <a16:creationId xmlns:a16="http://schemas.microsoft.com/office/drawing/2014/main" id="{F7B1928A-FD38-A9BE-085C-CBF4F7E678B8}"/>
                </a:ext>
              </a:extLst>
            </xdr:cNvPr>
            <xdr:cNvGraphicFramePr/>
          </xdr:nvGraphicFramePr>
          <xdr:xfrm>
            <a:off x="0" y="0"/>
            <a:ext cx="0" cy="0"/>
          </xdr:xfrm>
          <a:graphic>
            <a:graphicData uri="http://schemas.microsoft.com/office/drawing/2010/slicer">
              <sle:slicer xmlns:sle="http://schemas.microsoft.com/office/drawing/2010/slicer" name="Performance Band"/>
            </a:graphicData>
          </a:graphic>
        </xdr:graphicFrame>
      </mc:Choice>
      <mc:Fallback xmlns="">
        <xdr:sp macro="" textlink="">
          <xdr:nvSpPr>
            <xdr:cNvPr id="0" name=""/>
            <xdr:cNvSpPr>
              <a:spLocks noTextEdit="1"/>
            </xdr:cNvSpPr>
          </xdr:nvSpPr>
          <xdr:spPr>
            <a:xfrm>
              <a:off x="10546668" y="4346059"/>
              <a:ext cx="1423987" cy="1459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221512</xdr:colOff>
      <xdr:row>30</xdr:row>
      <xdr:rowOff>150404</xdr:rowOff>
    </xdr:from>
    <xdr:to>
      <xdr:col>19</xdr:col>
      <xdr:colOff>455870</xdr:colOff>
      <xdr:row>35</xdr:row>
      <xdr:rowOff>121831</xdr:rowOff>
    </xdr:to>
    <mc:AlternateContent xmlns:mc="http://schemas.openxmlformats.org/markup-compatibility/2006" xmlns:a14="http://schemas.microsoft.com/office/drawing/2010/main">
      <mc:Choice Requires="a14">
        <xdr:graphicFrame macro="">
          <xdr:nvGraphicFramePr>
            <xdr:cNvPr id="25" name="Employment Status">
              <a:extLst>
                <a:ext uri="{FF2B5EF4-FFF2-40B4-BE49-F238E27FC236}">
                  <a16:creationId xmlns:a16="http://schemas.microsoft.com/office/drawing/2014/main" id="{3FCD97B2-98AB-7C16-35C1-463A36C9FD7E}"/>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mlns="">
        <xdr:sp macro="" textlink="">
          <xdr:nvSpPr>
            <xdr:cNvPr id="0" name=""/>
            <xdr:cNvSpPr>
              <a:spLocks noTextEdit="1"/>
            </xdr:cNvSpPr>
          </xdr:nvSpPr>
          <xdr:spPr>
            <a:xfrm>
              <a:off x="10544231" y="5865404"/>
              <a:ext cx="1448795" cy="923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90379</xdr:colOff>
      <xdr:row>3</xdr:row>
      <xdr:rowOff>125807</xdr:rowOff>
    </xdr:from>
    <xdr:to>
      <xdr:col>4</xdr:col>
      <xdr:colOff>204679</xdr:colOff>
      <xdr:row>9</xdr:row>
      <xdr:rowOff>23255</xdr:rowOff>
    </xdr:to>
    <xdr:grpSp>
      <xdr:nvGrpSpPr>
        <xdr:cNvPr id="26" name="Group 25">
          <a:extLst>
            <a:ext uri="{FF2B5EF4-FFF2-40B4-BE49-F238E27FC236}">
              <a16:creationId xmlns:a16="http://schemas.microsoft.com/office/drawing/2014/main" id="{42E3A194-0DB1-EFC7-48E4-5B32E2196AC4}"/>
            </a:ext>
          </a:extLst>
        </xdr:cNvPr>
        <xdr:cNvGrpSpPr/>
      </xdr:nvGrpSpPr>
      <xdr:grpSpPr>
        <a:xfrm>
          <a:off x="90379" y="697307"/>
          <a:ext cx="2543175" cy="1040448"/>
          <a:chOff x="57150" y="708138"/>
          <a:chExt cx="2552701" cy="1038225"/>
        </a:xfrm>
      </xdr:grpSpPr>
      <xdr:sp macro="" textlink="">
        <xdr:nvSpPr>
          <xdr:cNvPr id="2" name="Rectangle: Rounded Corners 1">
            <a:extLst>
              <a:ext uri="{FF2B5EF4-FFF2-40B4-BE49-F238E27FC236}">
                <a16:creationId xmlns:a16="http://schemas.microsoft.com/office/drawing/2014/main" id="{F080C6E2-7503-8967-D832-066143AAAC59}"/>
              </a:ext>
            </a:extLst>
          </xdr:cNvPr>
          <xdr:cNvSpPr/>
        </xdr:nvSpPr>
        <xdr:spPr>
          <a:xfrm>
            <a:off x="57150" y="708138"/>
            <a:ext cx="2552701" cy="1038225"/>
          </a:xfrm>
          <a:prstGeom prst="roundRect">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60E36592-1B2C-26DF-8ADC-7E864A6E6303}"/>
              </a:ext>
            </a:extLst>
          </xdr:cNvPr>
          <xdr:cNvSpPr/>
        </xdr:nvSpPr>
        <xdr:spPr>
          <a:xfrm>
            <a:off x="93692" y="747895"/>
            <a:ext cx="2466976" cy="304800"/>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latin typeface="Bahnschrift SemiBold Condensed" panose="020B0502040204020203" pitchFamily="34" charset="0"/>
              </a:rPr>
              <a:t>Total </a:t>
            </a:r>
            <a:r>
              <a:rPr lang="en-US" sz="1600" b="0" i="0" u="none" strike="noStrike" kern="1200" spc="0" baseline="0">
                <a:solidFill>
                  <a:schemeClr val="bg1"/>
                </a:solidFill>
                <a:latin typeface="Bahnschrift SemiBold Condensed" panose="020B0502040204020203" pitchFamily="34" charset="0"/>
                <a:ea typeface="+mn-ea"/>
                <a:cs typeface="+mn-cs"/>
              </a:rPr>
              <a:t>Employees</a:t>
            </a:r>
          </a:p>
        </xdr:txBody>
      </xdr:sp>
      <xdr:sp macro="" textlink="Analysis!B7">
        <xdr:nvSpPr>
          <xdr:cNvPr id="14" name="TextBox 13">
            <a:extLst>
              <a:ext uri="{FF2B5EF4-FFF2-40B4-BE49-F238E27FC236}">
                <a16:creationId xmlns:a16="http://schemas.microsoft.com/office/drawing/2014/main" id="{CF458089-F643-1C66-A012-5E3F58AD0E65}"/>
              </a:ext>
            </a:extLst>
          </xdr:cNvPr>
          <xdr:cNvSpPr txBox="1"/>
        </xdr:nvSpPr>
        <xdr:spPr>
          <a:xfrm>
            <a:off x="850841" y="1335105"/>
            <a:ext cx="838200" cy="371475"/>
          </a:xfrm>
          <a:prstGeom prst="rect">
            <a:avLst/>
          </a:prstGeom>
          <a:solidFill>
            <a:srgbClr val="008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C4ABC8-621C-4C67-9497-E552D54CEE3E}" type="TxLink">
              <a:rPr lang="en-US" sz="2400" b="1" i="0" u="none" strike="noStrike">
                <a:solidFill>
                  <a:schemeClr val="bg1"/>
                </a:solidFill>
                <a:latin typeface="Calibri"/>
                <a:ea typeface="Calibri"/>
                <a:cs typeface="Calibri"/>
              </a:rPr>
              <a:pPr algn="ctr"/>
              <a:t>150</a:t>
            </a:fld>
            <a:endParaRPr lang="en-US" sz="2400" b="1">
              <a:solidFill>
                <a:schemeClr val="bg1"/>
              </a:solidFill>
            </a:endParaRPr>
          </a:p>
        </xdr:txBody>
      </xdr:sp>
    </xdr:grpSp>
    <xdr:clientData/>
  </xdr:twoCellAnchor>
  <xdr:twoCellAnchor>
    <xdr:from>
      <xdr:col>13</xdr:col>
      <xdr:colOff>0</xdr:colOff>
      <xdr:row>3</xdr:row>
      <xdr:rowOff>139345</xdr:rowOff>
    </xdr:from>
    <xdr:to>
      <xdr:col>17</xdr:col>
      <xdr:colOff>111421</xdr:colOff>
      <xdr:row>9</xdr:row>
      <xdr:rowOff>36793</xdr:rowOff>
    </xdr:to>
    <xdr:grpSp>
      <xdr:nvGrpSpPr>
        <xdr:cNvPr id="29" name="Group 28">
          <a:extLst>
            <a:ext uri="{FF2B5EF4-FFF2-40B4-BE49-F238E27FC236}">
              <a16:creationId xmlns:a16="http://schemas.microsoft.com/office/drawing/2014/main" id="{91BEE2A8-9262-90EE-4CAC-09745020971E}"/>
            </a:ext>
          </a:extLst>
        </xdr:cNvPr>
        <xdr:cNvGrpSpPr/>
      </xdr:nvGrpSpPr>
      <xdr:grpSpPr>
        <a:xfrm>
          <a:off x="7893844" y="710845"/>
          <a:ext cx="2540296" cy="1040448"/>
          <a:chOff x="8010525" y="689089"/>
          <a:chExt cx="2552700" cy="1038225"/>
        </a:xfrm>
      </xdr:grpSpPr>
      <xdr:sp macro="" textlink="">
        <xdr:nvSpPr>
          <xdr:cNvPr id="10" name="Rectangle: Rounded Corners 9">
            <a:extLst>
              <a:ext uri="{FF2B5EF4-FFF2-40B4-BE49-F238E27FC236}">
                <a16:creationId xmlns:a16="http://schemas.microsoft.com/office/drawing/2014/main" id="{88FD55D8-B46B-4065-DDDF-C68DE9376758}"/>
              </a:ext>
            </a:extLst>
          </xdr:cNvPr>
          <xdr:cNvSpPr/>
        </xdr:nvSpPr>
        <xdr:spPr>
          <a:xfrm>
            <a:off x="8010525" y="689089"/>
            <a:ext cx="2552700" cy="1038225"/>
          </a:xfrm>
          <a:prstGeom prst="roundRect">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B7D90B36-C624-E0F1-6A00-8E6ACDBBB021}"/>
              </a:ext>
            </a:extLst>
          </xdr:cNvPr>
          <xdr:cNvSpPr/>
        </xdr:nvSpPr>
        <xdr:spPr>
          <a:xfrm>
            <a:off x="8080316" y="751235"/>
            <a:ext cx="2466975" cy="304800"/>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latin typeface="Bahnschrift SemiBold Condensed" panose="020B0502040204020203" pitchFamily="34" charset="0"/>
              </a:rPr>
              <a:t>Average Performance Score </a:t>
            </a:r>
          </a:p>
        </xdr:txBody>
      </xdr:sp>
      <xdr:sp macro="" textlink="Analysis!B22">
        <xdr:nvSpPr>
          <xdr:cNvPr id="15" name="TextBox 14">
            <a:extLst>
              <a:ext uri="{FF2B5EF4-FFF2-40B4-BE49-F238E27FC236}">
                <a16:creationId xmlns:a16="http://schemas.microsoft.com/office/drawing/2014/main" id="{6243A9F1-E7D7-DA0D-E917-0B8C91E43CA1}"/>
              </a:ext>
            </a:extLst>
          </xdr:cNvPr>
          <xdr:cNvSpPr txBox="1"/>
        </xdr:nvSpPr>
        <xdr:spPr>
          <a:xfrm>
            <a:off x="8453525" y="1344631"/>
            <a:ext cx="1552575" cy="342900"/>
          </a:xfrm>
          <a:prstGeom prst="rect">
            <a:avLst/>
          </a:prstGeom>
          <a:solidFill>
            <a:srgbClr val="008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6D8928D-4A2E-4D8D-BA85-BC38C10F4515}" type="TxLink">
              <a:rPr lang="en-US" sz="2400" b="1" i="0" u="none" strike="noStrike">
                <a:solidFill>
                  <a:schemeClr val="bg1"/>
                </a:solidFill>
                <a:latin typeface="Calibri"/>
                <a:ea typeface="Calibri"/>
                <a:cs typeface="Calibri"/>
              </a:rPr>
              <a:pPr marL="0" indent="0" algn="ctr"/>
              <a:t>67.79</a:t>
            </a:fld>
            <a:endParaRPr lang="en-US" sz="2400" b="1" i="0" u="none" strike="noStrike">
              <a:solidFill>
                <a:schemeClr val="bg1"/>
              </a:solidFill>
              <a:latin typeface="Calibri"/>
              <a:ea typeface="Calibri"/>
              <a:cs typeface="Calibri"/>
            </a:endParaRPr>
          </a:p>
        </xdr:txBody>
      </xdr:sp>
    </xdr:grpSp>
    <xdr:clientData/>
  </xdr:twoCellAnchor>
  <xdr:twoCellAnchor>
    <xdr:from>
      <xdr:col>8</xdr:col>
      <xdr:colOff>461948</xdr:colOff>
      <xdr:row>3</xdr:row>
      <xdr:rowOff>138047</xdr:rowOff>
    </xdr:from>
    <xdr:to>
      <xdr:col>12</xdr:col>
      <xdr:colOff>547414</xdr:colOff>
      <xdr:row>9</xdr:row>
      <xdr:rowOff>35487</xdr:rowOff>
    </xdr:to>
    <xdr:grpSp>
      <xdr:nvGrpSpPr>
        <xdr:cNvPr id="28" name="Group 27">
          <a:extLst>
            <a:ext uri="{FF2B5EF4-FFF2-40B4-BE49-F238E27FC236}">
              <a16:creationId xmlns:a16="http://schemas.microsoft.com/office/drawing/2014/main" id="{20F8083F-E8C8-FDF3-A77A-C719B30AD492}"/>
            </a:ext>
          </a:extLst>
        </xdr:cNvPr>
        <xdr:cNvGrpSpPr/>
      </xdr:nvGrpSpPr>
      <xdr:grpSpPr>
        <a:xfrm>
          <a:off x="5319698" y="709547"/>
          <a:ext cx="2514341" cy="1040440"/>
          <a:chOff x="5372100" y="698604"/>
          <a:chExt cx="2552700" cy="1038225"/>
        </a:xfrm>
      </xdr:grpSpPr>
      <xdr:sp macro="" textlink="">
        <xdr:nvSpPr>
          <xdr:cNvPr id="8" name="Rectangle: Rounded Corners 7">
            <a:extLst>
              <a:ext uri="{FF2B5EF4-FFF2-40B4-BE49-F238E27FC236}">
                <a16:creationId xmlns:a16="http://schemas.microsoft.com/office/drawing/2014/main" id="{C9E82EF6-B3F2-3E24-CEF1-DC5846B6203D}"/>
              </a:ext>
            </a:extLst>
          </xdr:cNvPr>
          <xdr:cNvSpPr/>
        </xdr:nvSpPr>
        <xdr:spPr>
          <a:xfrm>
            <a:off x="5372100" y="698604"/>
            <a:ext cx="2552700" cy="1038225"/>
          </a:xfrm>
          <a:prstGeom prst="roundRect">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D8EA2125-75FB-9551-9A06-6C0186A9DB08}"/>
              </a:ext>
            </a:extLst>
          </xdr:cNvPr>
          <xdr:cNvSpPr/>
        </xdr:nvSpPr>
        <xdr:spPr>
          <a:xfrm>
            <a:off x="5419725" y="727180"/>
            <a:ext cx="2466975" cy="304800"/>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latin typeface="Bahnschrift SemiBold Condensed" panose="020B0502040204020203" pitchFamily="34" charset="0"/>
              </a:rPr>
              <a:t>Average Salary</a:t>
            </a:r>
          </a:p>
        </xdr:txBody>
      </xdr:sp>
      <xdr:sp macro="" textlink="Analysis!G6">
        <xdr:nvSpPr>
          <xdr:cNvPr id="12" name="TextBox 11">
            <a:extLst>
              <a:ext uri="{FF2B5EF4-FFF2-40B4-BE49-F238E27FC236}">
                <a16:creationId xmlns:a16="http://schemas.microsoft.com/office/drawing/2014/main" id="{D9447326-3457-6F63-E8FF-FDBB26FC80EF}"/>
              </a:ext>
            </a:extLst>
          </xdr:cNvPr>
          <xdr:cNvSpPr txBox="1"/>
        </xdr:nvSpPr>
        <xdr:spPr>
          <a:xfrm>
            <a:off x="5948281" y="1303195"/>
            <a:ext cx="1352549" cy="371475"/>
          </a:xfrm>
          <a:prstGeom prst="rect">
            <a:avLst/>
          </a:prstGeom>
          <a:solidFill>
            <a:srgbClr val="008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1C6CF50-2956-444C-A40A-007110456A2C}" type="TxLink">
              <a:rPr lang="en-US" sz="2400" b="1" i="0" u="none" strike="noStrike">
                <a:solidFill>
                  <a:schemeClr val="bg1"/>
                </a:solidFill>
                <a:latin typeface="Calibri"/>
                <a:ea typeface="Calibri"/>
                <a:cs typeface="Calibri"/>
              </a:rPr>
              <a:pPr marL="0" indent="0" algn="ctr"/>
              <a:t>₦ 81,725</a:t>
            </a:fld>
            <a:endParaRPr lang="en-US" sz="2400" b="1" i="0" u="none" strike="noStrike">
              <a:solidFill>
                <a:schemeClr val="bg1"/>
              </a:solidFill>
              <a:latin typeface="Calibri"/>
              <a:ea typeface="Calibri"/>
              <a:cs typeface="Calibri"/>
            </a:endParaRPr>
          </a:p>
        </xdr:txBody>
      </xdr:sp>
    </xdr:grpSp>
    <xdr:clientData/>
  </xdr:twoCellAnchor>
  <xdr:twoCellAnchor>
    <xdr:from>
      <xdr:col>4</xdr:col>
      <xdr:colOff>276483</xdr:colOff>
      <xdr:row>3</xdr:row>
      <xdr:rowOff>138177</xdr:rowOff>
    </xdr:from>
    <xdr:to>
      <xdr:col>8</xdr:col>
      <xdr:colOff>390783</xdr:colOff>
      <xdr:row>9</xdr:row>
      <xdr:rowOff>35625</xdr:rowOff>
    </xdr:to>
    <xdr:grpSp>
      <xdr:nvGrpSpPr>
        <xdr:cNvPr id="27" name="Group 26">
          <a:extLst>
            <a:ext uri="{FF2B5EF4-FFF2-40B4-BE49-F238E27FC236}">
              <a16:creationId xmlns:a16="http://schemas.microsoft.com/office/drawing/2014/main" id="{90E74457-C249-4159-F136-4BD9438746DF}"/>
            </a:ext>
          </a:extLst>
        </xdr:cNvPr>
        <xdr:cNvGrpSpPr/>
      </xdr:nvGrpSpPr>
      <xdr:grpSpPr>
        <a:xfrm>
          <a:off x="2705358" y="709677"/>
          <a:ext cx="2543175" cy="1040448"/>
          <a:chOff x="2714625" y="698614"/>
          <a:chExt cx="2552700" cy="1038225"/>
        </a:xfrm>
      </xdr:grpSpPr>
      <xdr:sp macro="" textlink="">
        <xdr:nvSpPr>
          <xdr:cNvPr id="6" name="Rectangle: Rounded Corners 5">
            <a:extLst>
              <a:ext uri="{FF2B5EF4-FFF2-40B4-BE49-F238E27FC236}">
                <a16:creationId xmlns:a16="http://schemas.microsoft.com/office/drawing/2014/main" id="{CEE278E0-2C84-04E9-36F3-9559CA9E92AC}"/>
              </a:ext>
            </a:extLst>
          </xdr:cNvPr>
          <xdr:cNvSpPr/>
        </xdr:nvSpPr>
        <xdr:spPr>
          <a:xfrm>
            <a:off x="2714625" y="698614"/>
            <a:ext cx="2552700" cy="1038225"/>
          </a:xfrm>
          <a:prstGeom prst="roundRect">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B1D94BEC-D735-5D3E-ADAC-2DA3A412D166}"/>
              </a:ext>
            </a:extLst>
          </xdr:cNvPr>
          <xdr:cNvSpPr/>
        </xdr:nvSpPr>
        <xdr:spPr>
          <a:xfrm>
            <a:off x="2773333" y="738371"/>
            <a:ext cx="2466975" cy="304800"/>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kern="1200" spc="0" baseline="0">
                <a:solidFill>
                  <a:schemeClr val="bg1"/>
                </a:solidFill>
                <a:latin typeface="Bahnschrift SemiBold Condensed" panose="020B0502040204020203" pitchFamily="34" charset="0"/>
                <a:ea typeface="+mn-ea"/>
                <a:cs typeface="+mn-cs"/>
              </a:rPr>
              <a:t>Total Projected</a:t>
            </a:r>
            <a:r>
              <a:rPr lang="en-US" sz="1600">
                <a:latin typeface="Bahnschrift SemiBold Condensed" panose="020B0502040204020203" pitchFamily="34" charset="0"/>
              </a:rPr>
              <a:t> Bonus Payout</a:t>
            </a:r>
          </a:p>
        </xdr:txBody>
      </xdr:sp>
      <xdr:sp macro="" textlink="Analysis!G21">
        <xdr:nvSpPr>
          <xdr:cNvPr id="13" name="TextBox 12">
            <a:extLst>
              <a:ext uri="{FF2B5EF4-FFF2-40B4-BE49-F238E27FC236}">
                <a16:creationId xmlns:a16="http://schemas.microsoft.com/office/drawing/2014/main" id="{B667C956-A5B1-873E-224D-6681A7479D0D}"/>
              </a:ext>
            </a:extLst>
          </xdr:cNvPr>
          <xdr:cNvSpPr txBox="1"/>
        </xdr:nvSpPr>
        <xdr:spPr>
          <a:xfrm>
            <a:off x="3218065" y="1303190"/>
            <a:ext cx="1514475" cy="371475"/>
          </a:xfrm>
          <a:prstGeom prst="rect">
            <a:avLst/>
          </a:prstGeom>
          <a:solidFill>
            <a:srgbClr val="008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00D1080-2A7D-4780-AEED-645960AAD25C}" type="TxLink">
              <a:rPr lang="en-US" sz="2400" b="1" i="0" u="none" strike="noStrike">
                <a:solidFill>
                  <a:schemeClr val="bg1"/>
                </a:solidFill>
                <a:latin typeface="Calibri"/>
                <a:ea typeface="Calibri"/>
                <a:cs typeface="Calibri"/>
              </a:rPr>
              <a:pPr marL="0" indent="0" algn="ctr"/>
              <a:t>₦ 477,243</a:t>
            </a:fld>
            <a:endParaRPr lang="en-US" sz="2400" b="1" i="0" u="none" strike="noStrike">
              <a:solidFill>
                <a:schemeClr val="bg1"/>
              </a:solidFill>
              <a:latin typeface="Calibri"/>
              <a:ea typeface="Calibri"/>
              <a:cs typeface="Calibri"/>
            </a:endParaRPr>
          </a:p>
        </xdr:txBody>
      </xdr:sp>
    </xdr:grpSp>
    <xdr:clientData/>
  </xdr:twoCellAnchor>
  <xdr:twoCellAnchor>
    <xdr:from>
      <xdr:col>0</xdr:col>
      <xdr:colOff>55378</xdr:colOff>
      <xdr:row>0</xdr:row>
      <xdr:rowOff>33227</xdr:rowOff>
    </xdr:from>
    <xdr:to>
      <xdr:col>19</xdr:col>
      <xdr:colOff>376568</xdr:colOff>
      <xdr:row>3</xdr:row>
      <xdr:rowOff>88604</xdr:rowOff>
    </xdr:to>
    <xdr:sp macro="" textlink="">
      <xdr:nvSpPr>
        <xdr:cNvPr id="16" name="Rectangle: Rounded Corners 15">
          <a:extLst>
            <a:ext uri="{FF2B5EF4-FFF2-40B4-BE49-F238E27FC236}">
              <a16:creationId xmlns:a16="http://schemas.microsoft.com/office/drawing/2014/main" id="{C9DB9193-3953-CDE7-AA83-D8B02F4E9CC0}"/>
            </a:ext>
          </a:extLst>
        </xdr:cNvPr>
        <xdr:cNvSpPr/>
      </xdr:nvSpPr>
      <xdr:spPr>
        <a:xfrm>
          <a:off x="55378" y="33227"/>
          <a:ext cx="11895173" cy="620232"/>
        </a:xfrm>
        <a:prstGeom prst="roundRect">
          <a:avLst/>
        </a:prstGeom>
        <a:solidFill>
          <a:srgbClr val="008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chemeClr val="bg1"/>
              </a:solidFill>
              <a:latin typeface="Bahnschrift SemiBold Condensed" panose="020B0502040204020203" pitchFamily="34" charset="0"/>
            </a:rPr>
            <a:t>Employee Workforce Analysis</a:t>
          </a:r>
        </a:p>
      </xdr:txBody>
    </xdr:sp>
    <xdr:clientData/>
  </xdr:twoCellAnchor>
  <xdr:twoCellAnchor>
    <xdr:from>
      <xdr:col>0</xdr:col>
      <xdr:colOff>55377</xdr:colOff>
      <xdr:row>9</xdr:row>
      <xdr:rowOff>86181</xdr:rowOff>
    </xdr:from>
    <xdr:to>
      <xdr:col>17</xdr:col>
      <xdr:colOff>134819</xdr:colOff>
      <xdr:row>36</xdr:row>
      <xdr:rowOff>139788</xdr:rowOff>
    </xdr:to>
    <xdr:grpSp>
      <xdr:nvGrpSpPr>
        <xdr:cNvPr id="32" name="Group 31">
          <a:extLst>
            <a:ext uri="{FF2B5EF4-FFF2-40B4-BE49-F238E27FC236}">
              <a16:creationId xmlns:a16="http://schemas.microsoft.com/office/drawing/2014/main" id="{C79BECB2-3749-89C4-4ED4-E6C77A89DD9A}"/>
            </a:ext>
          </a:extLst>
        </xdr:cNvPr>
        <xdr:cNvGrpSpPr/>
      </xdr:nvGrpSpPr>
      <xdr:grpSpPr>
        <a:xfrm>
          <a:off x="55377" y="1800681"/>
          <a:ext cx="10402161" cy="5197107"/>
          <a:chOff x="55377" y="1761299"/>
          <a:chExt cx="10502307" cy="5078834"/>
        </a:xfrm>
      </xdr:grpSpPr>
      <xdr:graphicFrame macro="">
        <xdr:nvGraphicFramePr>
          <xdr:cNvPr id="18" name="Chart 17">
            <a:extLst>
              <a:ext uri="{FF2B5EF4-FFF2-40B4-BE49-F238E27FC236}">
                <a16:creationId xmlns:a16="http://schemas.microsoft.com/office/drawing/2014/main" id="{38DF68E4-08F5-4734-B030-B82718CBFAE9}"/>
              </a:ext>
            </a:extLst>
          </xdr:cNvPr>
          <xdr:cNvGraphicFramePr>
            <a:graphicFrameLocks/>
          </xdr:cNvGraphicFramePr>
        </xdr:nvGraphicFramePr>
        <xdr:xfrm>
          <a:off x="5576759" y="3527090"/>
          <a:ext cx="4967959" cy="159670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9" name="Chart 18">
            <a:extLst>
              <a:ext uri="{FF2B5EF4-FFF2-40B4-BE49-F238E27FC236}">
                <a16:creationId xmlns:a16="http://schemas.microsoft.com/office/drawing/2014/main" id="{0BEBC2FB-7F2C-4622-8BE2-113D32EABE09}"/>
              </a:ext>
            </a:extLst>
          </xdr:cNvPr>
          <xdr:cNvGraphicFramePr>
            <a:graphicFrameLocks/>
          </xdr:cNvGraphicFramePr>
        </xdr:nvGraphicFramePr>
        <xdr:xfrm>
          <a:off x="5570675" y="1761299"/>
          <a:ext cx="4987009" cy="169598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0" name="Chart 19">
            <a:extLst>
              <a:ext uri="{FF2B5EF4-FFF2-40B4-BE49-F238E27FC236}">
                <a16:creationId xmlns:a16="http://schemas.microsoft.com/office/drawing/2014/main" id="{9601449D-1D5C-4EDF-A3F4-7D53F7EC6A76}"/>
              </a:ext>
            </a:extLst>
          </xdr:cNvPr>
          <xdr:cNvGraphicFramePr>
            <a:graphicFrameLocks/>
          </xdr:cNvGraphicFramePr>
        </xdr:nvGraphicFramePr>
        <xdr:xfrm>
          <a:off x="66676" y="5174572"/>
          <a:ext cx="10479909" cy="166556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0" name="Chart 29">
            <a:extLst>
              <a:ext uri="{FF2B5EF4-FFF2-40B4-BE49-F238E27FC236}">
                <a16:creationId xmlns:a16="http://schemas.microsoft.com/office/drawing/2014/main" id="{6477FDF2-8D1B-4B26-87EE-6973498C737D}"/>
              </a:ext>
            </a:extLst>
          </xdr:cNvPr>
          <xdr:cNvGraphicFramePr>
            <a:graphicFrameLocks/>
          </xdr:cNvGraphicFramePr>
        </xdr:nvGraphicFramePr>
        <xdr:xfrm>
          <a:off x="68225" y="3527838"/>
          <a:ext cx="5405913" cy="159888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2" name="Chart 21">
            <a:extLst>
              <a:ext uri="{FF2B5EF4-FFF2-40B4-BE49-F238E27FC236}">
                <a16:creationId xmlns:a16="http://schemas.microsoft.com/office/drawing/2014/main" id="{A6ABC7BA-3925-4C26-AC07-665CA1709BE7}"/>
              </a:ext>
            </a:extLst>
          </xdr:cNvPr>
          <xdr:cNvGraphicFramePr>
            <a:graphicFrameLocks/>
          </xdr:cNvGraphicFramePr>
        </xdr:nvGraphicFramePr>
        <xdr:xfrm>
          <a:off x="55377" y="1762673"/>
          <a:ext cx="5414305" cy="169825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9.474504282407" createdVersion="8" refreshedVersion="8" minRefreshableVersion="3" recordCount="150" xr:uid="{3BB10C07-4AEF-491A-920E-5961EA102FCF}">
  <cacheSource type="worksheet">
    <worksheetSource ref="A1:N151" sheet="Transformed_Raw_Employee_Data"/>
  </cacheSource>
  <cacheFields count="17">
    <cacheField name="Emp ID" numFmtId="0">
      <sharedItems/>
    </cacheField>
    <cacheField name="First_Name" numFmtId="0">
      <sharedItems containsBlank="1"/>
    </cacheField>
    <cacheField name="Last_Name" numFmtId="0">
      <sharedItems/>
    </cacheField>
    <cacheField name="Full Name" numFmtId="0">
      <sharedItems/>
    </cacheField>
    <cacheField name="Dept Code" numFmtId="0">
      <sharedItems/>
    </cacheField>
    <cacheField name="Department Name" numFmtId="0">
      <sharedItems count="6">
        <s v="Information Technology"/>
        <s v="Marketing"/>
        <s v="Finance"/>
        <s v="Operations"/>
        <s v="Sales"/>
        <s v="Human Resources"/>
      </sharedItems>
    </cacheField>
    <cacheField name="Hire Date" numFmtId="14">
      <sharedItems containsSemiMixedTypes="0" containsNonDate="0" containsDate="1" containsString="0" minDate="2015-01-09T00:00:00" maxDate="2023-12-13T00:00:00" count="147">
        <d v="2017-12-24T00:00:00"/>
        <d v="2022-08-04T00:00:00"/>
        <d v="2016-02-03T00:00:00"/>
        <d v="2023-03-07T00:00:00"/>
        <d v="2023-02-20T00:00:00"/>
        <d v="2020-02-03T00:00:00"/>
        <d v="2023-12-12T00:00:00"/>
        <d v="2020-09-12T00:00:00"/>
        <d v="2018-07-01T00:00:00"/>
        <d v="2016-02-11T00:00:00"/>
        <d v="2020-03-21T00:00:00"/>
        <d v="2016-02-25T00:00:00"/>
        <d v="2021-06-17T00:00:00"/>
        <d v="2020-06-19T00:00:00"/>
        <d v="2019-12-21T00:00:00"/>
        <d v="2023-08-31T00:00:00"/>
        <d v="2015-11-29T00:00:00"/>
        <d v="2017-06-13T00:00:00"/>
        <d v="2018-05-15T00:00:00"/>
        <d v="2016-07-24T00:00:00"/>
        <d v="2017-07-12T00:00:00"/>
        <d v="2021-06-06T00:00:00"/>
        <d v="2022-11-09T00:00:00"/>
        <d v="2016-07-14T00:00:00"/>
        <d v="2022-06-16T00:00:00"/>
        <d v="2023-07-27T00:00:00"/>
        <d v="2019-09-24T00:00:00"/>
        <d v="2022-07-23T00:00:00"/>
        <d v="2018-05-13T00:00:00"/>
        <d v="2015-07-17T00:00:00"/>
        <d v="2015-05-08T00:00:00"/>
        <d v="2023-09-26T00:00:00"/>
        <d v="2019-10-06T00:00:00"/>
        <d v="2022-01-17T00:00:00"/>
        <d v="2017-03-07T00:00:00"/>
        <d v="2015-01-09T00:00:00"/>
        <d v="2022-03-08T00:00:00"/>
        <d v="2022-06-29T00:00:00"/>
        <d v="2020-04-28T00:00:00"/>
        <d v="2017-09-09T00:00:00"/>
        <d v="2018-03-22T00:00:00"/>
        <d v="2020-07-05T00:00:00"/>
        <d v="2019-03-25T00:00:00"/>
        <d v="2019-09-08T00:00:00"/>
        <d v="2016-04-10T00:00:00"/>
        <d v="2019-10-07T00:00:00"/>
        <d v="2021-08-29T00:00:00"/>
        <d v="2017-01-26T00:00:00"/>
        <d v="2020-05-30T00:00:00"/>
        <d v="2022-02-20T00:00:00"/>
        <d v="2016-09-15T00:00:00"/>
        <d v="2019-07-10T00:00:00"/>
        <d v="2018-12-30T00:00:00"/>
        <d v="2020-12-24T00:00:00"/>
        <d v="2023-05-07T00:00:00"/>
        <d v="2020-11-13T00:00:00"/>
        <d v="2018-07-02T00:00:00"/>
        <d v="2023-11-25T00:00:00"/>
        <d v="2023-10-18T00:00:00"/>
        <d v="2020-05-09T00:00:00"/>
        <d v="2017-06-03T00:00:00"/>
        <d v="2015-04-28T00:00:00"/>
        <d v="2017-04-13T00:00:00"/>
        <d v="2022-09-23T00:00:00"/>
        <d v="2016-11-11T00:00:00"/>
        <d v="2017-03-24T00:00:00"/>
        <d v="2019-05-05T00:00:00"/>
        <d v="2021-07-25T00:00:00"/>
        <d v="2017-09-30T00:00:00"/>
        <d v="2015-07-07T00:00:00"/>
        <d v="2018-02-07T00:00:00"/>
        <d v="2022-09-15T00:00:00"/>
        <d v="2015-02-09T00:00:00"/>
        <d v="2016-11-10T00:00:00"/>
        <d v="2019-04-20T00:00:00"/>
        <d v="2017-02-19T00:00:00"/>
        <d v="2021-07-09T00:00:00"/>
        <d v="2019-05-14T00:00:00"/>
        <d v="2015-11-22T00:00:00"/>
        <d v="2018-09-29T00:00:00"/>
        <d v="2023-02-09T00:00:00"/>
        <d v="2022-07-17T00:00:00"/>
        <d v="2021-07-02T00:00:00"/>
        <d v="2023-04-10T00:00:00"/>
        <d v="2020-08-30T00:00:00"/>
        <d v="2021-08-14T00:00:00"/>
        <d v="2019-11-27T00:00:00"/>
        <d v="2017-05-25T00:00:00"/>
        <d v="2018-02-12T00:00:00"/>
        <d v="2019-06-23T00:00:00"/>
        <d v="2015-10-27T00:00:00"/>
        <d v="2018-06-19T00:00:00"/>
        <d v="2018-12-01T00:00:00"/>
        <d v="2015-04-01T00:00:00"/>
        <d v="2018-05-12T00:00:00"/>
        <d v="2021-10-13T00:00:00"/>
        <d v="2020-07-09T00:00:00"/>
        <d v="2019-08-03T00:00:00"/>
        <d v="2015-11-03T00:00:00"/>
        <d v="2023-09-05T00:00:00"/>
        <d v="2018-01-22T00:00:00"/>
        <d v="2020-02-18T00:00:00"/>
        <d v="2016-05-22T00:00:00"/>
        <d v="2021-02-06T00:00:00"/>
        <d v="2021-07-17T00:00:00"/>
        <d v="2016-11-13T00:00:00"/>
        <d v="2019-02-17T00:00:00"/>
        <d v="2016-12-09T00:00:00"/>
        <d v="2021-08-13T00:00:00"/>
        <d v="2020-06-14T00:00:00"/>
        <d v="2022-05-07T00:00:00"/>
        <d v="2016-10-07T00:00:00"/>
        <d v="2022-04-23T00:00:00"/>
        <d v="2017-10-05T00:00:00"/>
        <d v="2020-05-20T00:00:00"/>
        <d v="2023-04-20T00:00:00"/>
        <d v="2021-10-31T00:00:00"/>
        <d v="2021-10-24T00:00:00"/>
        <d v="2017-09-08T00:00:00"/>
        <d v="2023-04-01T00:00:00"/>
        <d v="2020-10-08T00:00:00"/>
        <d v="2022-02-04T00:00:00"/>
        <d v="2018-03-24T00:00:00"/>
        <d v="2018-07-24T00:00:00"/>
        <d v="2018-07-20T00:00:00"/>
        <d v="2016-04-03T00:00:00"/>
        <d v="2022-03-23T00:00:00"/>
        <d v="2017-07-28T00:00:00"/>
        <d v="2023-11-05T00:00:00"/>
        <d v="2022-03-19T00:00:00"/>
        <d v="2017-12-22T00:00:00"/>
        <d v="2018-09-17T00:00:00"/>
        <d v="2021-06-28T00:00:00"/>
        <d v="2017-03-10T00:00:00"/>
        <d v="2015-10-22T00:00:00"/>
        <d v="2018-06-06T00:00:00"/>
        <d v="2017-07-16T00:00:00"/>
        <d v="2015-06-20T00:00:00"/>
        <d v="2019-05-24T00:00:00"/>
        <d v="2020-02-26T00:00:00"/>
        <d v="2023-06-03T00:00:00"/>
        <d v="2019-12-01T00:00:00"/>
        <d v="2023-04-21T00:00:00"/>
        <d v="2016-05-29T00:00:00"/>
        <d v="2022-05-30T00:00:00"/>
        <d v="2016-03-11T00:00:00"/>
        <d v="2022-10-14T00:00:00"/>
      </sharedItems>
      <fieldGroup par="16"/>
    </cacheField>
    <cacheField name="Year of Service" numFmtId="1">
      <sharedItems containsSemiMixedTypes="0" containsString="0" containsNumber="1" containsInteger="1" minValue="2" maxValue="11"/>
    </cacheField>
    <cacheField name="Salary" numFmtId="166">
      <sharedItems containsSemiMixedTypes="0" containsString="0" containsNumber="1" minValue="45196" maxValue="118947"/>
    </cacheField>
    <cacheField name="Perf_Score" numFmtId="0">
      <sharedItems containsSemiMixedTypes="0" containsString="0" containsNumber="1" minValue="30" maxValue="99"/>
    </cacheField>
    <cacheField name="Employment Status" numFmtId="0">
      <sharedItems count="3">
        <s v="Active"/>
        <s v="Left"/>
        <s v="Resigned"/>
      </sharedItems>
    </cacheField>
    <cacheField name="Performance Band" numFmtId="0">
      <sharedItems count="5">
        <s v="Developing"/>
        <s v="Achieving"/>
        <s v="Needs Improvement"/>
        <s v="Exceeding"/>
        <s v="Outstanding"/>
      </sharedItems>
    </cacheField>
    <cacheField name="Projected Bonus" numFmtId="2">
      <sharedItems containsSemiMixedTypes="0" containsString="0" containsNumber="1" minValue="0" maxValue="0.12"/>
    </cacheField>
    <cacheField name="Bonus Amount" numFmtId="166">
      <sharedItems containsSemiMixedTypes="0" containsString="0" containsNumber="1" minValue="0" maxValue="14273.64"/>
    </cacheField>
    <cacheField name="Months (Hire Date)" numFmtId="0" databaseField="0">
      <fieldGroup base="6">
        <rangePr groupBy="months" startDate="2015-01-09T00:00:00" endDate="2023-12-13T00:00:00"/>
        <groupItems count="14">
          <s v="&lt;1/9/2015"/>
          <s v="Jan"/>
          <s v="Feb"/>
          <s v="Mar"/>
          <s v="Apr"/>
          <s v="May"/>
          <s v="Jun"/>
          <s v="Jul"/>
          <s v="Aug"/>
          <s v="Sep"/>
          <s v="Oct"/>
          <s v="Nov"/>
          <s v="Dec"/>
          <s v="&gt;12/13/2023"/>
        </groupItems>
      </fieldGroup>
    </cacheField>
    <cacheField name="Quarters (Hire Date)" numFmtId="0" databaseField="0">
      <fieldGroup base="6">
        <rangePr groupBy="quarters" startDate="2015-01-09T00:00:00" endDate="2023-12-13T00:00:00"/>
        <groupItems count="6">
          <s v="&lt;1/9/2015"/>
          <s v="Qtr1"/>
          <s v="Qtr2"/>
          <s v="Qtr3"/>
          <s v="Qtr4"/>
          <s v="&gt;12/13/2023"/>
        </groupItems>
      </fieldGroup>
    </cacheField>
    <cacheField name="Years (Hire Date)" numFmtId="0" databaseField="0">
      <fieldGroup base="6">
        <rangePr groupBy="years" startDate="2015-01-09T00:00:00" endDate="2023-12-13T00:00:00"/>
        <groupItems count="11">
          <s v="&lt;1/9/2015"/>
          <s v="2015"/>
          <s v="2016"/>
          <s v="2017"/>
          <s v="2018"/>
          <s v="2019"/>
          <s v="2020"/>
          <s v="2021"/>
          <s v="2022"/>
          <s v="2023"/>
          <s v="&gt;12/13/2023"/>
        </groupItems>
      </fieldGroup>
    </cacheField>
  </cacheFields>
  <extLst>
    <ext xmlns:x14="http://schemas.microsoft.com/office/spreadsheetml/2009/9/main" uri="{725AE2AE-9491-48be-B2B4-4EB974FC3084}">
      <x14:pivotCacheDefinition pivotCacheId="1431077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27"/>
    <s v="Emily"/>
    <s v="Brown"/>
    <s v="Emily Brown"/>
    <s v="IT02"/>
    <x v="0"/>
    <x v="0"/>
    <n v="8"/>
    <n v="50361"/>
    <n v="52"/>
    <x v="0"/>
    <x v="0"/>
    <n v="0.02"/>
    <n v="1007.22"/>
  </r>
  <r>
    <s v="EMP046"/>
    <s v="Richard"/>
    <s v="Hernandez"/>
    <s v="Richard Hernandez"/>
    <s v="MKT04"/>
    <x v="1"/>
    <x v="1"/>
    <n v="3"/>
    <n v="112673"/>
    <n v="62.473684210526315"/>
    <x v="0"/>
    <x v="0"/>
    <n v="0.02"/>
    <n v="2253.46"/>
  </r>
  <r>
    <s v="EMP134"/>
    <s v="Emily"/>
    <s v="Gonzalez"/>
    <s v="Emily Gonzalez"/>
    <s v="IT02"/>
    <x v="0"/>
    <x v="2"/>
    <n v="10"/>
    <n v="114425"/>
    <n v="54"/>
    <x v="1"/>
    <x v="0"/>
    <n v="0.02"/>
    <n v="2288.5"/>
  </r>
  <r>
    <s v="EMP139"/>
    <s v="John"/>
    <s v="Martinez"/>
    <s v="John Martinez"/>
    <s v="FIN03"/>
    <x v="2"/>
    <x v="3"/>
    <n v="3"/>
    <n v="103831"/>
    <n v="70"/>
    <x v="0"/>
    <x v="1"/>
    <n v="0.05"/>
    <n v="5191.55"/>
  </r>
  <r>
    <s v="EMP112"/>
    <s v="Thomas"/>
    <s v="Smith"/>
    <s v="Thomas Smith"/>
    <s v="IT02"/>
    <x v="0"/>
    <x v="4"/>
    <n v="3"/>
    <n v="73785"/>
    <n v="40"/>
    <x v="1"/>
    <x v="2"/>
    <n v="0"/>
    <n v="0"/>
  </r>
  <r>
    <s v="EMP030"/>
    <s v="Emily"/>
    <s v="Johnson"/>
    <s v="Emily Johnson"/>
    <s v="OPS06"/>
    <x v="3"/>
    <x v="5"/>
    <n v="6"/>
    <n v="115882"/>
    <n v="49"/>
    <x v="0"/>
    <x v="2"/>
    <n v="0"/>
    <n v="0"/>
  </r>
  <r>
    <s v="EMP096"/>
    <s v="John"/>
    <s v="Wilson"/>
    <s v="John Wilson"/>
    <s v="OPS06"/>
    <x v="3"/>
    <x v="6"/>
    <n v="2"/>
    <n v="59980"/>
    <n v="70"/>
    <x v="1"/>
    <x v="1"/>
    <n v="0.05"/>
    <n v="2999"/>
  </r>
  <r>
    <s v="EMP098"/>
    <s v="Jessica"/>
    <s v="Smith"/>
    <s v="Jessica Smith"/>
    <s v="OPS06"/>
    <x v="3"/>
    <x v="7"/>
    <n v="5"/>
    <n v="68728"/>
    <n v="45"/>
    <x v="0"/>
    <x v="2"/>
    <n v="0"/>
    <n v="0"/>
  </r>
  <r>
    <s v="EMP095"/>
    <m/>
    <s v="Rodriguez"/>
    <s v="Rodriguez"/>
    <s v="FIN03"/>
    <x v="2"/>
    <x v="8"/>
    <n v="8"/>
    <n v="102139"/>
    <n v="79"/>
    <x v="0"/>
    <x v="1"/>
    <n v="0.05"/>
    <n v="5106.9500000000007"/>
  </r>
  <r>
    <s v="EMP140"/>
    <s v="Michael"/>
    <s v="Martinez"/>
    <s v="Michael Martinez"/>
    <s v="SAL05"/>
    <x v="4"/>
    <x v="9"/>
    <n v="10"/>
    <n v="94998"/>
    <n v="58"/>
    <x v="0"/>
    <x v="0"/>
    <n v="0.02"/>
    <n v="1899.96"/>
  </r>
  <r>
    <s v="EMP020"/>
    <s v="Emily"/>
    <s v="Miller"/>
    <s v="Emily Miller"/>
    <s v="SAL05"/>
    <x v="4"/>
    <x v="10"/>
    <n v="6"/>
    <n v="118635"/>
    <n v="49"/>
    <x v="0"/>
    <x v="2"/>
    <n v="0"/>
    <n v="0"/>
  </r>
  <r>
    <s v="EMP057"/>
    <s v="Emily"/>
    <s v="Hernandez"/>
    <s v="Emily Hernandez"/>
    <s v="IT02"/>
    <x v="0"/>
    <x v="11"/>
    <n v="10"/>
    <n v="76918"/>
    <n v="62"/>
    <x v="0"/>
    <x v="0"/>
    <n v="0.02"/>
    <n v="1538.3600000000001"/>
  </r>
  <r>
    <s v="EMP016"/>
    <s v="Jane"/>
    <s v="Williams"/>
    <s v="Jane Williams"/>
    <s v="MKT04"/>
    <x v="1"/>
    <x v="12"/>
    <n v="5"/>
    <n v="61408"/>
    <n v="48"/>
    <x v="0"/>
    <x v="2"/>
    <n v="0"/>
    <n v="0"/>
  </r>
  <r>
    <s v="EMP070"/>
    <s v="Jane"/>
    <s v="Miller"/>
    <s v="Jane Miller"/>
    <s v="MKT04"/>
    <x v="1"/>
    <x v="13"/>
    <n v="6"/>
    <n v="99990"/>
    <n v="54"/>
    <x v="0"/>
    <x v="0"/>
    <n v="0.02"/>
    <n v="1999.8"/>
  </r>
  <r>
    <s v="EMP025"/>
    <s v="Robert"/>
    <s v="Jones"/>
    <s v="Robert Jones"/>
    <s v="MKT04"/>
    <x v="1"/>
    <x v="14"/>
    <n v="6"/>
    <n v="80385"/>
    <n v="62.473684210526315"/>
    <x v="0"/>
    <x v="0"/>
    <n v="0.02"/>
    <n v="1607.7"/>
  </r>
  <r>
    <s v="EMP031"/>
    <s v="Thomas"/>
    <s v="Rodriguez"/>
    <s v="Thomas Rodriguez"/>
    <s v="SAL05"/>
    <x v="4"/>
    <x v="15"/>
    <n v="2"/>
    <n v="65290"/>
    <n v="77"/>
    <x v="0"/>
    <x v="1"/>
    <n v="0.05"/>
    <n v="3264.5"/>
  </r>
  <r>
    <s v="EMP126"/>
    <s v="Emily"/>
    <s v="Davis"/>
    <s v="Emily Davis"/>
    <s v="IT02"/>
    <x v="0"/>
    <x v="16"/>
    <n v="10"/>
    <n v="105765"/>
    <n v="42"/>
    <x v="0"/>
    <x v="2"/>
    <n v="0"/>
    <n v="0"/>
  </r>
  <r>
    <s v="EMP109"/>
    <s v="James"/>
    <s v="Martinez"/>
    <s v="James Martinez"/>
    <s v="SAL05"/>
    <x v="4"/>
    <x v="17"/>
    <n v="9"/>
    <n v="102921"/>
    <n v="49"/>
    <x v="0"/>
    <x v="2"/>
    <n v="0"/>
    <n v="0"/>
  </r>
  <r>
    <s v="EMP066"/>
    <s v="Ashley"/>
    <s v="Lopez"/>
    <s v="Ashley Lopez"/>
    <s v="MKT04"/>
    <x v="1"/>
    <x v="18"/>
    <n v="8"/>
    <n v="73984"/>
    <n v="93"/>
    <x v="0"/>
    <x v="3"/>
    <n v="0.08"/>
    <n v="5918.72"/>
  </r>
  <r>
    <s v="EMP120"/>
    <s v="Amanda"/>
    <s v="Gonzalez"/>
    <s v="Amanda Gonzalez"/>
    <s v="IT02"/>
    <x v="0"/>
    <x v="19"/>
    <n v="9"/>
    <n v="68901.166666666701"/>
    <n v="75"/>
    <x v="0"/>
    <x v="1"/>
    <n v="0.05"/>
    <n v="3445.0583333333352"/>
  </r>
  <r>
    <s v="EMP019"/>
    <s v="Michael"/>
    <s v="Hernandez"/>
    <s v="Michael Hernandez"/>
    <s v="FIN03"/>
    <x v="2"/>
    <x v="20"/>
    <n v="8"/>
    <n v="118527"/>
    <n v="50"/>
    <x v="0"/>
    <x v="0"/>
    <n v="0.02"/>
    <n v="2370.54"/>
  </r>
  <r>
    <s v="EMP013"/>
    <s v="Richard"/>
    <s v="Hernandez"/>
    <s v="Richard Hernandez"/>
    <s v="MKT04"/>
    <x v="1"/>
    <x v="21"/>
    <n v="5"/>
    <n v="107871"/>
    <n v="88"/>
    <x v="0"/>
    <x v="3"/>
    <n v="0.08"/>
    <n v="8629.68"/>
  </r>
  <r>
    <s v="EMP010"/>
    <s v="Michael"/>
    <s v="Rodriguez"/>
    <s v="Michael Rodriguez"/>
    <s v="IT02"/>
    <x v="0"/>
    <x v="22"/>
    <n v="3"/>
    <n v="93956"/>
    <n v="50"/>
    <x v="1"/>
    <x v="0"/>
    <n v="0.02"/>
    <n v="1879.1200000000001"/>
  </r>
  <r>
    <s v="EMP032"/>
    <s v="Jessica"/>
    <s v="Johnson"/>
    <s v="Jessica Johnson"/>
    <s v="FIN03"/>
    <x v="2"/>
    <x v="23"/>
    <n v="9"/>
    <n v="100851"/>
    <n v="64"/>
    <x v="0"/>
    <x v="0"/>
    <n v="0.02"/>
    <n v="2017.02"/>
  </r>
  <r>
    <s v="EMP082"/>
    <s v="Ashley"/>
    <s v="Williams"/>
    <s v="Ashley Williams"/>
    <s v="SAL05"/>
    <x v="4"/>
    <x v="24"/>
    <n v="4"/>
    <n v="68655"/>
    <n v="32"/>
    <x v="0"/>
    <x v="2"/>
    <n v="0"/>
    <n v="0"/>
  </r>
  <r>
    <s v="EMP052"/>
    <m/>
    <s v="Williams"/>
    <s v="Williams"/>
    <s v="SAL05"/>
    <x v="4"/>
    <x v="25"/>
    <n v="2"/>
    <n v="81205"/>
    <n v="59"/>
    <x v="0"/>
    <x v="0"/>
    <n v="0.02"/>
    <n v="1624.1000000000001"/>
  </r>
  <r>
    <s v="EMP129"/>
    <s v="John"/>
    <s v="Wilson"/>
    <s v="John Wilson"/>
    <s v="SAL05"/>
    <x v="4"/>
    <x v="26"/>
    <n v="6"/>
    <n v="77610"/>
    <n v="88"/>
    <x v="0"/>
    <x v="3"/>
    <n v="0.08"/>
    <n v="6208.8"/>
  </r>
  <r>
    <s v="EMP146"/>
    <s v="Thomas"/>
    <s v="Rodriguez"/>
    <s v="Thomas Rodriguez"/>
    <s v="IT02"/>
    <x v="0"/>
    <x v="27"/>
    <n v="3"/>
    <n v="50873"/>
    <n v="90"/>
    <x v="0"/>
    <x v="3"/>
    <n v="0.08"/>
    <n v="4069.84"/>
  </r>
  <r>
    <s v="EMP099"/>
    <s v="Michael"/>
    <s v="Wilson"/>
    <s v="Michael Wilson"/>
    <s v="FIN03"/>
    <x v="2"/>
    <x v="28"/>
    <n v="8"/>
    <n v="85312"/>
    <n v="66"/>
    <x v="0"/>
    <x v="0"/>
    <n v="0.02"/>
    <n v="1706.24"/>
  </r>
  <r>
    <s v="EMP015"/>
    <s v="John"/>
    <s v="Rodriguez"/>
    <s v="John Rodriguez"/>
    <s v="SAL05"/>
    <x v="4"/>
    <x v="29"/>
    <n v="10"/>
    <n v="64757.870967741903"/>
    <n v="68"/>
    <x v="0"/>
    <x v="0"/>
    <n v="0.02"/>
    <n v="1295.1574193548381"/>
  </r>
  <r>
    <s v="EMP076"/>
    <s v="Thomas"/>
    <s v="Hernandez"/>
    <s v="Thomas Hernandez"/>
    <s v="OPS06"/>
    <x v="3"/>
    <x v="30"/>
    <n v="11"/>
    <n v="97055"/>
    <n v="80"/>
    <x v="0"/>
    <x v="1"/>
    <n v="0.05"/>
    <n v="4852.75"/>
  </r>
  <r>
    <s v="EMP137"/>
    <s v="Michael"/>
    <s v="Johnson"/>
    <s v="Michael Johnson"/>
    <s v="IT02"/>
    <x v="0"/>
    <x v="31"/>
    <n v="2"/>
    <n v="66069"/>
    <n v="72"/>
    <x v="0"/>
    <x v="1"/>
    <n v="0.05"/>
    <n v="3303.4500000000003"/>
  </r>
  <r>
    <s v="EMP056"/>
    <s v="Sarah"/>
    <s v="Brown"/>
    <s v="Sarah Brown"/>
    <s v="IT02"/>
    <x v="0"/>
    <x v="32"/>
    <n v="6"/>
    <n v="90157"/>
    <n v="58"/>
    <x v="0"/>
    <x v="0"/>
    <n v="0.02"/>
    <n v="1803.14"/>
  </r>
  <r>
    <s v="EMP125"/>
    <s v="Jane"/>
    <s v="Martinez"/>
    <s v="Jane Martinez"/>
    <s v="HR01"/>
    <x v="5"/>
    <x v="33"/>
    <n v="4"/>
    <n v="59899"/>
    <n v="78"/>
    <x v="0"/>
    <x v="1"/>
    <n v="0.05"/>
    <n v="2994.9500000000003"/>
  </r>
  <r>
    <s v="EMP085"/>
    <s v="Emily"/>
    <s v="Jones"/>
    <s v="Emily Jones"/>
    <s v="FIN03"/>
    <x v="2"/>
    <x v="34"/>
    <n v="9"/>
    <n v="113389"/>
    <n v="30"/>
    <x v="0"/>
    <x v="2"/>
    <n v="0"/>
    <n v="0"/>
  </r>
  <r>
    <s v="EMP106"/>
    <m/>
    <s v="Brown"/>
    <s v="Brown"/>
    <s v="IT02"/>
    <x v="0"/>
    <x v="35"/>
    <n v="11"/>
    <n v="102691"/>
    <n v="52"/>
    <x v="0"/>
    <x v="0"/>
    <n v="0.02"/>
    <n v="2053.8200000000002"/>
  </r>
  <r>
    <s v="EMP043"/>
    <s v="John"/>
    <s v="Wilson"/>
    <s v="John Wilson"/>
    <s v="OPS06"/>
    <x v="3"/>
    <x v="36"/>
    <n v="4"/>
    <n v="111845"/>
    <n v="98"/>
    <x v="0"/>
    <x v="4"/>
    <n v="0.12"/>
    <n v="13421.4"/>
  </r>
  <r>
    <s v="EMP068"/>
    <s v="Melissa"/>
    <s v="Brown"/>
    <s v="Melissa Brown"/>
    <s v="SAL05"/>
    <x v="4"/>
    <x v="37"/>
    <n v="4"/>
    <n v="69219"/>
    <n v="93"/>
    <x v="0"/>
    <x v="3"/>
    <n v="0.08"/>
    <n v="5537.52"/>
  </r>
  <r>
    <s v="EMP128"/>
    <s v="Michael"/>
    <s v="Smith"/>
    <s v="Michael Smith"/>
    <s v="FIN03"/>
    <x v="2"/>
    <x v="38"/>
    <n v="6"/>
    <n v="72419.941176470602"/>
    <n v="80"/>
    <x v="1"/>
    <x v="1"/>
    <n v="0.05"/>
    <n v="3620.9970588235301"/>
  </r>
  <r>
    <s v="EMP027"/>
    <s v="Sarah"/>
    <s v="Miller"/>
    <s v="Sarah Miller"/>
    <s v="OPS06"/>
    <x v="3"/>
    <x v="39"/>
    <n v="8"/>
    <n v="57514"/>
    <n v="63"/>
    <x v="0"/>
    <x v="0"/>
    <n v="0.02"/>
    <n v="1150.28"/>
  </r>
  <r>
    <s v="EMP136"/>
    <s v="Emily"/>
    <s v="Wilson"/>
    <s v="Emily Wilson"/>
    <s v="SAL05"/>
    <x v="4"/>
    <x v="40"/>
    <n v="8"/>
    <n v="86245"/>
    <n v="71"/>
    <x v="1"/>
    <x v="1"/>
    <n v="0.05"/>
    <n v="4312.25"/>
  </r>
  <r>
    <s v="EMP079"/>
    <s v="David"/>
    <s v="Hernandez"/>
    <s v="David Hernandez"/>
    <s v="SAL05"/>
    <x v="4"/>
    <x v="41"/>
    <n v="5"/>
    <n v="52407"/>
    <n v="55"/>
    <x v="0"/>
    <x v="0"/>
    <n v="0.02"/>
    <n v="1048.1400000000001"/>
  </r>
  <r>
    <s v="EMP149"/>
    <s v="James"/>
    <s v="Smith"/>
    <s v="James Smith"/>
    <s v="OPS06"/>
    <x v="3"/>
    <x v="42"/>
    <n v="7"/>
    <n v="66606"/>
    <n v="93"/>
    <x v="2"/>
    <x v="3"/>
    <n v="0.08"/>
    <n v="5328.4800000000005"/>
  </r>
  <r>
    <s v="EMP037"/>
    <s v="Sarah"/>
    <s v="Williams"/>
    <s v="Sarah Williams"/>
    <s v="IT02"/>
    <x v="0"/>
    <x v="43"/>
    <n v="6"/>
    <n v="81896"/>
    <n v="79"/>
    <x v="2"/>
    <x v="1"/>
    <n v="0.05"/>
    <n v="4094.8"/>
  </r>
  <r>
    <s v="EMP077"/>
    <s v="Amanda"/>
    <s v="Lopez"/>
    <s v="Amanda Lopez"/>
    <s v="SAL05"/>
    <x v="4"/>
    <x v="23"/>
    <n v="9"/>
    <n v="78402"/>
    <n v="54"/>
    <x v="0"/>
    <x v="0"/>
    <n v="0.02"/>
    <n v="1568.04"/>
  </r>
  <r>
    <s v="EMP023"/>
    <s v="Thomas"/>
    <s v="Lopez"/>
    <s v="Thomas Lopez"/>
    <s v="OPS06"/>
    <x v="3"/>
    <x v="44"/>
    <n v="10"/>
    <n v="105498"/>
    <n v="76"/>
    <x v="0"/>
    <x v="1"/>
    <n v="0.05"/>
    <n v="5274.9000000000005"/>
  </r>
  <r>
    <s v="EMP133"/>
    <s v="Melissa"/>
    <s v="Johnson"/>
    <s v="Melissa Johnson"/>
    <s v="MKT04"/>
    <x v="1"/>
    <x v="45"/>
    <n v="6"/>
    <n v="91749"/>
    <n v="72"/>
    <x v="1"/>
    <x v="1"/>
    <n v="0.05"/>
    <n v="4587.45"/>
  </r>
  <r>
    <s v="EMP141"/>
    <s v="Amanda"/>
    <s v="Johnson"/>
    <s v="Amanda Johnson"/>
    <s v="OPS06"/>
    <x v="3"/>
    <x v="46"/>
    <n v="4"/>
    <n v="99935"/>
    <n v="84"/>
    <x v="2"/>
    <x v="1"/>
    <n v="0.05"/>
    <n v="4996.75"/>
  </r>
  <r>
    <s v="EMP012"/>
    <s v="John"/>
    <s v="Davis"/>
    <s v="John Davis"/>
    <s v="IT02"/>
    <x v="0"/>
    <x v="47"/>
    <n v="9"/>
    <n v="83531"/>
    <n v="30"/>
    <x v="1"/>
    <x v="2"/>
    <n v="0"/>
    <n v="0"/>
  </r>
  <r>
    <s v="EMP080"/>
    <s v="James"/>
    <s v="Johnson"/>
    <s v="James Johnson"/>
    <s v="MKT04"/>
    <x v="1"/>
    <x v="48"/>
    <n v="6"/>
    <n v="75023"/>
    <n v="62.473684210526315"/>
    <x v="0"/>
    <x v="0"/>
    <n v="0.02"/>
    <n v="1500.46"/>
  </r>
  <r>
    <s v="EMP069"/>
    <s v="Jane"/>
    <s v="Davis"/>
    <s v="Jane Davis"/>
    <s v="HR01"/>
    <x v="5"/>
    <x v="49"/>
    <n v="4"/>
    <n v="93290"/>
    <n v="53"/>
    <x v="0"/>
    <x v="0"/>
    <n v="0.02"/>
    <n v="1865.8"/>
  </r>
  <r>
    <s v="EMP150"/>
    <s v="Richard"/>
    <s v="Davis"/>
    <s v="Richard Davis"/>
    <s v="OPS06"/>
    <x v="3"/>
    <x v="50"/>
    <n v="9"/>
    <n v="115527"/>
    <n v="63"/>
    <x v="2"/>
    <x v="0"/>
    <n v="0.02"/>
    <n v="2310.54"/>
  </r>
  <r>
    <s v="EMP028"/>
    <s v="Thomas"/>
    <s v="Rodriguez"/>
    <s v="Thomas Rodriguez"/>
    <s v="FIN03"/>
    <x v="2"/>
    <x v="51"/>
    <n v="6"/>
    <n v="55920"/>
    <n v="84"/>
    <x v="0"/>
    <x v="1"/>
    <n v="0.05"/>
    <n v="2796"/>
  </r>
  <r>
    <s v="EMP087"/>
    <s v="Emily"/>
    <s v="Johnson"/>
    <s v="Emily Johnson"/>
    <s v="SAL05"/>
    <x v="4"/>
    <x v="52"/>
    <n v="7"/>
    <n v="80189"/>
    <n v="30"/>
    <x v="0"/>
    <x v="2"/>
    <n v="0"/>
    <n v="0"/>
  </r>
  <r>
    <s v="EMP119"/>
    <s v="Emily"/>
    <s v="Garcia"/>
    <s v="Emily Garcia"/>
    <s v="HR01"/>
    <x v="5"/>
    <x v="53"/>
    <n v="5"/>
    <n v="118947"/>
    <n v="96"/>
    <x v="0"/>
    <x v="4"/>
    <n v="0.12"/>
    <n v="14273.64"/>
  </r>
  <r>
    <s v="EMP042"/>
    <s v="Jane"/>
    <s v="Anderson"/>
    <s v="Jane Anderson"/>
    <s v="IT02"/>
    <x v="0"/>
    <x v="54"/>
    <n v="3"/>
    <n v="68901.166666666701"/>
    <n v="54"/>
    <x v="0"/>
    <x v="0"/>
    <n v="0.02"/>
    <n v="1378.023333333334"/>
  </r>
  <r>
    <s v="EMP005"/>
    <s v="Thomas"/>
    <s v="Garcia"/>
    <s v="Thomas Garcia"/>
    <s v="OPS06"/>
    <x v="3"/>
    <x v="55"/>
    <n v="5"/>
    <n v="74284.137931034493"/>
    <n v="75"/>
    <x v="0"/>
    <x v="1"/>
    <n v="0.05"/>
    <n v="3714.2068965517246"/>
  </r>
  <r>
    <s v="EMP033"/>
    <s v="David"/>
    <s v="Martinez"/>
    <s v="David Martinez"/>
    <s v="HR01"/>
    <x v="5"/>
    <x v="56"/>
    <n v="8"/>
    <n v="91655"/>
    <n v="95"/>
    <x v="0"/>
    <x v="4"/>
    <n v="0.12"/>
    <n v="10998.6"/>
  </r>
  <r>
    <s v="EMP061"/>
    <s v="Emily"/>
    <s v="Brown"/>
    <s v="Emily Brown"/>
    <s v="IT02"/>
    <x v="0"/>
    <x v="57"/>
    <n v="2"/>
    <n v="49435"/>
    <n v="63.5"/>
    <x v="1"/>
    <x v="0"/>
    <n v="0.02"/>
    <n v="988.7"/>
  </r>
  <r>
    <s v="EMP102"/>
    <s v="Emily"/>
    <s v="Wilson"/>
    <s v="Emily Wilson"/>
    <s v="SAL05"/>
    <x v="4"/>
    <x v="58"/>
    <n v="2"/>
    <n v="110381"/>
    <n v="93"/>
    <x v="0"/>
    <x v="3"/>
    <n v="0.08"/>
    <n v="8830.48"/>
  </r>
  <r>
    <s v="EMP067"/>
    <s v="Michael"/>
    <s v="Anderson"/>
    <s v="Michael Anderson"/>
    <s v="HR01"/>
    <x v="5"/>
    <x v="59"/>
    <n v="6"/>
    <n v="114748"/>
    <n v="33"/>
    <x v="0"/>
    <x v="2"/>
    <n v="0"/>
    <n v="0"/>
  </r>
  <r>
    <s v="EMP017"/>
    <s v="Robert"/>
    <s v="Johnson"/>
    <s v="Robert Johnson"/>
    <s v="OPS06"/>
    <x v="3"/>
    <x v="60"/>
    <n v="9"/>
    <n v="63302"/>
    <n v="91"/>
    <x v="0"/>
    <x v="3"/>
    <n v="0.08"/>
    <n v="5064.16"/>
  </r>
  <r>
    <s v="EMP123"/>
    <s v="Robert"/>
    <s v="Miller"/>
    <s v="Robert Miller"/>
    <s v="IT02"/>
    <x v="0"/>
    <x v="61"/>
    <n v="11"/>
    <n v="75519"/>
    <n v="64"/>
    <x v="0"/>
    <x v="0"/>
    <n v="0.02"/>
    <n v="1510.38"/>
  </r>
  <r>
    <s v="EMP011"/>
    <s v="Jane"/>
    <s v="Davis"/>
    <s v="Jane Davis"/>
    <s v="FIN03"/>
    <x v="2"/>
    <x v="62"/>
    <n v="9"/>
    <n v="103891"/>
    <n v="80"/>
    <x v="0"/>
    <x v="1"/>
    <n v="0.05"/>
    <n v="5194.55"/>
  </r>
  <r>
    <s v="EMP091"/>
    <s v="Thomas"/>
    <s v="Davis"/>
    <s v="Thomas Davis"/>
    <s v="OPS06"/>
    <x v="3"/>
    <x v="63"/>
    <n v="3"/>
    <n v="74284.137931034493"/>
    <n v="46"/>
    <x v="1"/>
    <x v="2"/>
    <n v="0"/>
    <n v="0"/>
  </r>
  <r>
    <s v="EMP145"/>
    <s v="Thomas"/>
    <s v="Jones"/>
    <s v="Thomas Jones"/>
    <s v="MKT04"/>
    <x v="1"/>
    <x v="64"/>
    <n v="9"/>
    <n v="50936"/>
    <n v="99"/>
    <x v="0"/>
    <x v="4"/>
    <n v="0.12"/>
    <n v="6112.32"/>
  </r>
  <r>
    <s v="EMP001"/>
    <s v="Michael"/>
    <s v="Miller"/>
    <s v="Michael Miller"/>
    <s v="SAL05"/>
    <x v="4"/>
    <x v="65"/>
    <n v="9"/>
    <n v="111240"/>
    <n v="62"/>
    <x v="0"/>
    <x v="0"/>
    <n v="0.02"/>
    <n v="2224.8000000000002"/>
  </r>
  <r>
    <s v="EMP113"/>
    <s v="Richard"/>
    <s v="Gonzalez"/>
    <s v="Richard Gonzalez"/>
    <s v="HR01"/>
    <x v="5"/>
    <x v="66"/>
    <n v="7"/>
    <n v="51567"/>
    <n v="87"/>
    <x v="2"/>
    <x v="3"/>
    <n v="0.08"/>
    <n v="4125.3599999999997"/>
  </r>
  <r>
    <s v="EMP065"/>
    <s v="Melissa"/>
    <s v="Williams"/>
    <s v="Melissa Williams"/>
    <s v="HR01"/>
    <x v="5"/>
    <x v="67"/>
    <n v="4"/>
    <n v="80891.611111111095"/>
    <n v="36"/>
    <x v="0"/>
    <x v="2"/>
    <n v="0"/>
    <n v="0"/>
  </r>
  <r>
    <s v="EMP045"/>
    <s v="Robert"/>
    <s v="Miller"/>
    <s v="Robert Miller"/>
    <s v="HR01"/>
    <x v="5"/>
    <x v="68"/>
    <n v="8"/>
    <n v="55270"/>
    <n v="87"/>
    <x v="0"/>
    <x v="3"/>
    <n v="0.08"/>
    <n v="4421.6000000000004"/>
  </r>
  <r>
    <s v="EMP083"/>
    <s v="William"/>
    <s v="Garcia"/>
    <s v="William Garcia"/>
    <s v="SAL05"/>
    <x v="4"/>
    <x v="69"/>
    <n v="10"/>
    <n v="65235"/>
    <n v="97"/>
    <x v="0"/>
    <x v="4"/>
    <n v="0.12"/>
    <n v="7828.2"/>
  </r>
  <r>
    <s v="EMP029"/>
    <s v="John"/>
    <s v="Gonzalez"/>
    <s v="John Gonzalez"/>
    <s v="SAL05"/>
    <x v="4"/>
    <x v="70"/>
    <n v="8"/>
    <n v="64757.870967741903"/>
    <n v="72"/>
    <x v="1"/>
    <x v="1"/>
    <n v="0.05"/>
    <n v="3237.8935483870955"/>
  </r>
  <r>
    <s v="EMP041"/>
    <s v="James"/>
    <s v="Gonzalez"/>
    <s v="James Gonzalez"/>
    <s v="SAL05"/>
    <x v="4"/>
    <x v="71"/>
    <n v="3"/>
    <n v="64757.870967741903"/>
    <n v="65"/>
    <x v="1"/>
    <x v="0"/>
    <n v="0.02"/>
    <n v="1295.1574193548381"/>
  </r>
  <r>
    <s v="EMP026"/>
    <s v="Jane"/>
    <s v="Gonzalez"/>
    <s v="Jane Gonzalez"/>
    <s v="SAL05"/>
    <x v="4"/>
    <x v="72"/>
    <n v="11"/>
    <n v="64757.870967741903"/>
    <n v="67"/>
    <x v="0"/>
    <x v="0"/>
    <n v="0.02"/>
    <n v="1295.1574193548381"/>
  </r>
  <r>
    <s v="EMP024"/>
    <s v="David"/>
    <s v="Wilson"/>
    <s v="David Wilson"/>
    <s v="OPS06"/>
    <x v="3"/>
    <x v="73"/>
    <n v="9"/>
    <n v="48823"/>
    <n v="34"/>
    <x v="0"/>
    <x v="2"/>
    <n v="0"/>
    <n v="0"/>
  </r>
  <r>
    <s v="EMP111"/>
    <s v="Jane"/>
    <s v="Gonzalez"/>
    <s v="Jane Gonzalez"/>
    <s v="FIN03"/>
    <x v="2"/>
    <x v="74"/>
    <n v="7"/>
    <n v="45196"/>
    <n v="78"/>
    <x v="1"/>
    <x v="1"/>
    <n v="0.05"/>
    <n v="2259.8000000000002"/>
  </r>
  <r>
    <s v="EMP040"/>
    <s v="Jane"/>
    <s v="Rodriguez"/>
    <s v="Jane Rodriguez"/>
    <s v="IT02"/>
    <x v="0"/>
    <x v="75"/>
    <n v="9"/>
    <n v="86246"/>
    <n v="61"/>
    <x v="0"/>
    <x v="0"/>
    <n v="0.02"/>
    <n v="1724.92"/>
  </r>
  <r>
    <s v="EMP086"/>
    <s v="Emily"/>
    <s v="Miller"/>
    <s v="Emily Miller"/>
    <s v="SAL05"/>
    <x v="4"/>
    <x v="76"/>
    <n v="4"/>
    <n v="70359"/>
    <n v="74"/>
    <x v="1"/>
    <x v="1"/>
    <n v="0.05"/>
    <n v="3517.9500000000003"/>
  </r>
  <r>
    <s v="EMP124"/>
    <s v="Sarah"/>
    <s v="Miller"/>
    <s v="Sarah Miller"/>
    <s v="MKT04"/>
    <x v="1"/>
    <x v="77"/>
    <n v="7"/>
    <n v="81007.736842105296"/>
    <n v="94"/>
    <x v="0"/>
    <x v="3"/>
    <n v="0.08"/>
    <n v="6480.6189473684235"/>
  </r>
  <r>
    <s v="EMP132"/>
    <s v="Jessica"/>
    <s v="Garcia"/>
    <s v="Jessica Garcia"/>
    <s v="OPS06"/>
    <x v="3"/>
    <x v="78"/>
    <n v="10"/>
    <n v="86480"/>
    <n v="63"/>
    <x v="0"/>
    <x v="0"/>
    <n v="0.02"/>
    <n v="1729.6000000000001"/>
  </r>
  <r>
    <s v="EMP048"/>
    <s v="Richard"/>
    <s v="Smith"/>
    <s v="Richard Smith"/>
    <s v="HR01"/>
    <x v="5"/>
    <x v="79"/>
    <n v="7"/>
    <n v="47694"/>
    <n v="75"/>
    <x v="0"/>
    <x v="1"/>
    <n v="0.05"/>
    <n v="2384.7000000000003"/>
  </r>
  <r>
    <s v="EMP114"/>
    <s v="Melissa"/>
    <s v="Wilson"/>
    <s v="Melissa Wilson"/>
    <s v="IT02"/>
    <x v="0"/>
    <x v="80"/>
    <n v="3"/>
    <n v="83724"/>
    <n v="81"/>
    <x v="2"/>
    <x v="1"/>
    <n v="0.05"/>
    <n v="4186.2"/>
  </r>
  <r>
    <s v="EMP062"/>
    <s v="Thomas"/>
    <s v="Williams"/>
    <s v="Thomas Williams"/>
    <s v="FIN03"/>
    <x v="2"/>
    <x v="81"/>
    <n v="3"/>
    <n v="98299"/>
    <n v="61"/>
    <x v="0"/>
    <x v="0"/>
    <n v="0.02"/>
    <n v="1965.98"/>
  </r>
  <r>
    <s v="EMP074"/>
    <s v="David"/>
    <s v="Williams"/>
    <s v="David Williams"/>
    <s v="FIN03"/>
    <x v="2"/>
    <x v="82"/>
    <n v="5"/>
    <n v="72419.941176470602"/>
    <n v="68"/>
    <x v="0"/>
    <x v="0"/>
    <n v="0.02"/>
    <n v="1448.3988235294121"/>
  </r>
  <r>
    <s v="EMP034"/>
    <s v="John"/>
    <s v="Johnson"/>
    <s v="John Johnson"/>
    <s v="IT02"/>
    <x v="0"/>
    <x v="83"/>
    <n v="3"/>
    <n v="52287"/>
    <n v="70"/>
    <x v="0"/>
    <x v="1"/>
    <n v="0.05"/>
    <n v="2614.3500000000004"/>
  </r>
  <r>
    <s v="EMP105"/>
    <s v="Richard"/>
    <s v="Gonzalez"/>
    <s v="Richard Gonzalez"/>
    <s v="IT02"/>
    <x v="0"/>
    <x v="84"/>
    <n v="5"/>
    <n v="82633"/>
    <n v="98"/>
    <x v="0"/>
    <x v="4"/>
    <n v="0.12"/>
    <n v="9915.9599999999991"/>
  </r>
  <r>
    <s v="EMP118"/>
    <s v="Melissa"/>
    <s v="Anderson"/>
    <s v="Melissa Anderson"/>
    <s v="OPS06"/>
    <x v="3"/>
    <x v="85"/>
    <n v="4"/>
    <n v="46508"/>
    <n v="34"/>
    <x v="0"/>
    <x v="2"/>
    <n v="0"/>
    <n v="0"/>
  </r>
  <r>
    <s v="EMP063"/>
    <s v="Emily"/>
    <s v="Gonzalez"/>
    <s v="Emily Gonzalez"/>
    <s v="HR01"/>
    <x v="5"/>
    <x v="86"/>
    <n v="6"/>
    <n v="86232"/>
    <n v="93"/>
    <x v="0"/>
    <x v="3"/>
    <n v="0.08"/>
    <n v="6898.56"/>
  </r>
  <r>
    <s v="EMP094"/>
    <s v="Jane"/>
    <s v="Davis"/>
    <s v="Jane Davis"/>
    <s v="IT02"/>
    <x v="0"/>
    <x v="87"/>
    <n v="9"/>
    <n v="77545"/>
    <n v="48"/>
    <x v="0"/>
    <x v="2"/>
    <n v="0"/>
    <n v="0"/>
  </r>
  <r>
    <s v="EMP097"/>
    <s v="William"/>
    <s v="Gonzalez"/>
    <s v="William Gonzalez"/>
    <s v="OPS06"/>
    <x v="3"/>
    <x v="88"/>
    <n v="8"/>
    <n v="68683"/>
    <n v="90"/>
    <x v="0"/>
    <x v="3"/>
    <n v="0.08"/>
    <n v="5494.64"/>
  </r>
  <r>
    <s v="EMP054"/>
    <s v="Thomas"/>
    <s v="Jones"/>
    <s v="Thomas Jones"/>
    <s v="FIN03"/>
    <x v="2"/>
    <x v="89"/>
    <n v="7"/>
    <n v="83932"/>
    <n v="57"/>
    <x v="1"/>
    <x v="0"/>
    <n v="0.02"/>
    <n v="1678.64"/>
  </r>
  <r>
    <s v="EMP006"/>
    <s v="Jessica"/>
    <s v="Anderson"/>
    <s v="Jessica Anderson"/>
    <s v="HR01"/>
    <x v="5"/>
    <x v="90"/>
    <n v="10"/>
    <n v="56073"/>
    <n v="79"/>
    <x v="0"/>
    <x v="1"/>
    <n v="0.05"/>
    <n v="2803.65"/>
  </r>
  <r>
    <s v="EMP110"/>
    <s v="Melissa"/>
    <s v="Johnson"/>
    <s v="Melissa Johnson"/>
    <s v="IT02"/>
    <x v="0"/>
    <x v="91"/>
    <n v="8"/>
    <n v="88056"/>
    <n v="66"/>
    <x v="0"/>
    <x v="0"/>
    <n v="0.02"/>
    <n v="1761.1200000000001"/>
  </r>
  <r>
    <s v="EMP147"/>
    <s v="Thomas"/>
    <s v="Miller"/>
    <s v="Thomas Miller"/>
    <s v="OPS06"/>
    <x v="3"/>
    <x v="92"/>
    <n v="7"/>
    <n v="67414"/>
    <n v="84"/>
    <x v="1"/>
    <x v="1"/>
    <n v="0.05"/>
    <n v="3370.7000000000003"/>
  </r>
  <r>
    <s v="EMP050"/>
    <s v="William"/>
    <s v="Gonzalez"/>
    <s v="William Gonzalez"/>
    <s v="SAL05"/>
    <x v="4"/>
    <x v="93"/>
    <n v="11"/>
    <n v="115288"/>
    <n v="61"/>
    <x v="0"/>
    <x v="0"/>
    <n v="0.02"/>
    <n v="2305.7600000000002"/>
  </r>
  <r>
    <s v="EMP036"/>
    <m/>
    <s v="Smith"/>
    <s v="Smith"/>
    <s v="SAL05"/>
    <x v="4"/>
    <x v="94"/>
    <n v="8"/>
    <n v="80140"/>
    <n v="58"/>
    <x v="0"/>
    <x v="0"/>
    <n v="0.02"/>
    <n v="1602.8"/>
  </r>
  <r>
    <s v="EMP081"/>
    <s v="John"/>
    <s v="Johnson"/>
    <s v="John Johnson"/>
    <s v="IT02"/>
    <x v="0"/>
    <x v="95"/>
    <n v="4"/>
    <n v="73087"/>
    <n v="69"/>
    <x v="0"/>
    <x v="0"/>
    <n v="0.02"/>
    <n v="1461.74"/>
  </r>
  <r>
    <s v="EMP078"/>
    <s v="Jane"/>
    <s v="Johnson"/>
    <s v="Jane Johnson"/>
    <s v="SAL05"/>
    <x v="4"/>
    <x v="96"/>
    <n v="5"/>
    <n v="95292"/>
    <n v="34"/>
    <x v="0"/>
    <x v="2"/>
    <n v="0"/>
    <n v="0"/>
  </r>
  <r>
    <s v="EMP035"/>
    <s v="John"/>
    <s v="Jones"/>
    <s v="John Jones"/>
    <s v="IT02"/>
    <x v="0"/>
    <x v="97"/>
    <n v="6"/>
    <n v="68901.166666666701"/>
    <n v="33"/>
    <x v="0"/>
    <x v="2"/>
    <n v="0"/>
    <n v="0"/>
  </r>
  <r>
    <s v="EMP047"/>
    <s v="Jane"/>
    <s v="Lopez"/>
    <s v="Jane Lopez"/>
    <s v="MKT04"/>
    <x v="1"/>
    <x v="98"/>
    <n v="10"/>
    <n v="101750"/>
    <n v="84"/>
    <x v="1"/>
    <x v="1"/>
    <n v="0.05"/>
    <n v="5087.5"/>
  </r>
  <r>
    <s v="EMP008"/>
    <s v="Melissa"/>
    <s v="Gonzalez"/>
    <s v="Melissa Gonzalez"/>
    <s v="MKT04"/>
    <x v="1"/>
    <x v="75"/>
    <n v="9"/>
    <n v="82992"/>
    <n v="79"/>
    <x v="0"/>
    <x v="1"/>
    <n v="0.05"/>
    <n v="4149.6000000000004"/>
  </r>
  <r>
    <s v="EMP044"/>
    <s v="William"/>
    <s v="Davis"/>
    <s v="William Davis"/>
    <s v="IT02"/>
    <x v="0"/>
    <x v="99"/>
    <n v="2"/>
    <n v="49942"/>
    <n v="51"/>
    <x v="0"/>
    <x v="0"/>
    <n v="0.02"/>
    <n v="998.84"/>
  </r>
  <r>
    <s v="EMP071"/>
    <s v="John"/>
    <s v="Smith"/>
    <s v="John Smith"/>
    <s v="OPS06"/>
    <x v="3"/>
    <x v="100"/>
    <n v="8"/>
    <n v="89060"/>
    <n v="58"/>
    <x v="0"/>
    <x v="0"/>
    <n v="0.02"/>
    <n v="1781.2"/>
  </r>
  <r>
    <s v="EMP115"/>
    <s v="James"/>
    <s v="Gonzalez"/>
    <s v="James Gonzalez"/>
    <s v="IT02"/>
    <x v="0"/>
    <x v="101"/>
    <n v="6"/>
    <n v="53786"/>
    <n v="98"/>
    <x v="0"/>
    <x v="4"/>
    <n v="0.12"/>
    <n v="6454.32"/>
  </r>
  <r>
    <s v="EMP092"/>
    <s v="Emily"/>
    <s v="Johnson"/>
    <s v="Emily Johnson"/>
    <s v="OPS06"/>
    <x v="3"/>
    <x v="102"/>
    <n v="10"/>
    <n v="81167"/>
    <n v="63"/>
    <x v="0"/>
    <x v="0"/>
    <n v="0.02"/>
    <n v="1623.3400000000001"/>
  </r>
  <r>
    <s v="EMP084"/>
    <s v="William"/>
    <s v="Williams"/>
    <s v="William Williams"/>
    <s v="MKT04"/>
    <x v="1"/>
    <x v="103"/>
    <n v="5"/>
    <n v="66688"/>
    <n v="40"/>
    <x v="1"/>
    <x v="2"/>
    <n v="0"/>
    <n v="0"/>
  </r>
  <r>
    <s v="EMP142"/>
    <s v="James"/>
    <s v="Jones"/>
    <s v="James Jones"/>
    <s v="IT02"/>
    <x v="0"/>
    <x v="104"/>
    <n v="4"/>
    <n v="91672"/>
    <n v="88"/>
    <x v="0"/>
    <x v="3"/>
    <n v="0.08"/>
    <n v="7333.76"/>
  </r>
  <r>
    <s v="EMP143"/>
    <s v="Jessica"/>
    <s v="Gonzalez"/>
    <s v="Jessica Gonzalez"/>
    <s v="HR01"/>
    <x v="5"/>
    <x v="105"/>
    <n v="9"/>
    <n v="77737"/>
    <n v="77"/>
    <x v="0"/>
    <x v="1"/>
    <n v="0.05"/>
    <n v="3886.8500000000004"/>
  </r>
  <r>
    <s v="EMP090"/>
    <s v="Sarah"/>
    <s v="Miller"/>
    <s v="Sarah Miller"/>
    <s v="SAL05"/>
    <x v="4"/>
    <x v="106"/>
    <n v="7"/>
    <n v="95686"/>
    <n v="91"/>
    <x v="0"/>
    <x v="3"/>
    <n v="0.08"/>
    <n v="7654.88"/>
  </r>
  <r>
    <s v="EMP009"/>
    <s v="Jessica"/>
    <s v="Smith"/>
    <s v="Jessica Smith"/>
    <s v="SAL05"/>
    <x v="4"/>
    <x v="107"/>
    <n v="9"/>
    <n v="114681"/>
    <n v="36"/>
    <x v="0"/>
    <x v="2"/>
    <n v="0"/>
    <n v="0"/>
  </r>
  <r>
    <s v="EMP014"/>
    <s v="Thomas"/>
    <s v="Jones"/>
    <s v="Thomas Jones"/>
    <s v="OPS06"/>
    <x v="3"/>
    <x v="108"/>
    <n v="4"/>
    <n v="109121"/>
    <n v="72"/>
    <x v="0"/>
    <x v="1"/>
    <n v="0.05"/>
    <n v="5456.05"/>
  </r>
  <r>
    <s v="EMP060"/>
    <s v="Amanda"/>
    <s v="Brown"/>
    <s v="Amanda Brown"/>
    <s v="MKT04"/>
    <x v="1"/>
    <x v="109"/>
    <n v="6"/>
    <n v="112791"/>
    <n v="87"/>
    <x v="0"/>
    <x v="3"/>
    <n v="0.08"/>
    <n v="9023.2800000000007"/>
  </r>
  <r>
    <s v="EMP135"/>
    <s v="Robert"/>
    <s v="Martinez"/>
    <s v="Robert Martinez"/>
    <s v="IT02"/>
    <x v="0"/>
    <x v="110"/>
    <n v="4"/>
    <n v="118008"/>
    <n v="71"/>
    <x v="0"/>
    <x v="1"/>
    <n v="0.05"/>
    <n v="5900.4000000000005"/>
  </r>
  <r>
    <s v="EMP004"/>
    <s v="Thomas"/>
    <s v="Miller"/>
    <s v="Thomas Miller"/>
    <s v="IT02"/>
    <x v="0"/>
    <x v="111"/>
    <n v="9"/>
    <n v="74370"/>
    <n v="82"/>
    <x v="0"/>
    <x v="1"/>
    <n v="0.05"/>
    <n v="3718.5"/>
  </r>
  <r>
    <s v="EMP018"/>
    <s v="David"/>
    <s v="Rodriguez"/>
    <s v="David Rodriguez"/>
    <s v="IT02"/>
    <x v="0"/>
    <x v="112"/>
    <n v="4"/>
    <n v="77819"/>
    <n v="79"/>
    <x v="0"/>
    <x v="1"/>
    <n v="0.05"/>
    <n v="3890.9500000000003"/>
  </r>
  <r>
    <s v="EMP039"/>
    <s v="Jane"/>
    <s v="Miller"/>
    <s v="Jane Miller"/>
    <s v="MKT04"/>
    <x v="1"/>
    <x v="113"/>
    <n v="8"/>
    <n v="48748"/>
    <n v="83"/>
    <x v="0"/>
    <x v="1"/>
    <n v="0.05"/>
    <n v="2437.4"/>
  </r>
  <r>
    <s v="EMP073"/>
    <s v="James"/>
    <s v="Rodriguez"/>
    <s v="James Rodriguez"/>
    <s v="OPS06"/>
    <x v="3"/>
    <x v="114"/>
    <n v="6"/>
    <n v="101997"/>
    <n v="38"/>
    <x v="2"/>
    <x v="2"/>
    <n v="0"/>
    <n v="0"/>
  </r>
  <r>
    <s v="EMP138"/>
    <s v="Sarah"/>
    <s v="Rodriguez"/>
    <s v="Sarah Rodriguez"/>
    <s v="HR01"/>
    <x v="5"/>
    <x v="115"/>
    <n v="3"/>
    <n v="115260"/>
    <n v="77"/>
    <x v="0"/>
    <x v="1"/>
    <n v="0.05"/>
    <n v="5763"/>
  </r>
  <r>
    <s v="EMP007"/>
    <s v="Sarah"/>
    <s v="Wilson"/>
    <s v="Sarah Wilson"/>
    <s v="SAL05"/>
    <x v="4"/>
    <x v="116"/>
    <n v="4"/>
    <n v="64757.870967741903"/>
    <n v="49"/>
    <x v="0"/>
    <x v="2"/>
    <n v="0"/>
    <n v="0"/>
  </r>
  <r>
    <s v="EMP144"/>
    <s v="Melissa"/>
    <s v="Brown"/>
    <s v="Melissa Brown"/>
    <s v="IT02"/>
    <x v="0"/>
    <x v="117"/>
    <n v="4"/>
    <n v="68901.166666666701"/>
    <n v="69"/>
    <x v="1"/>
    <x v="0"/>
    <n v="0.02"/>
    <n v="1378.023333333334"/>
  </r>
  <r>
    <s v="EMP101"/>
    <s v="Robert"/>
    <s v="Williams"/>
    <s v="Robert Williams"/>
    <s v="SAL05"/>
    <x v="4"/>
    <x v="118"/>
    <n v="8"/>
    <n v="64757.870967741903"/>
    <n v="76"/>
    <x v="0"/>
    <x v="1"/>
    <n v="0.05"/>
    <n v="3237.8935483870955"/>
  </r>
  <r>
    <s v="EMP003"/>
    <s v="Melissa"/>
    <s v="Rodriguez"/>
    <s v="Melissa Rodriguez"/>
    <s v="OPS06"/>
    <x v="3"/>
    <x v="119"/>
    <n v="3"/>
    <n v="60623"/>
    <n v="78"/>
    <x v="0"/>
    <x v="1"/>
    <n v="0.05"/>
    <n v="3031.15"/>
  </r>
  <r>
    <s v="EMP121"/>
    <s v="James"/>
    <s v="Johnson"/>
    <s v="James Johnson"/>
    <s v="HR01"/>
    <x v="5"/>
    <x v="120"/>
    <n v="5"/>
    <n v="68092"/>
    <n v="93"/>
    <x v="0"/>
    <x v="3"/>
    <n v="0.08"/>
    <n v="5447.36"/>
  </r>
  <r>
    <s v="EMP064"/>
    <s v="Michael"/>
    <s v="Wilson"/>
    <s v="Michael Wilson"/>
    <s v="MKT04"/>
    <x v="1"/>
    <x v="121"/>
    <n v="4"/>
    <n v="88155"/>
    <n v="68"/>
    <x v="0"/>
    <x v="0"/>
    <n v="0.02"/>
    <n v="1763.1000000000001"/>
  </r>
  <r>
    <s v="EMP116"/>
    <s v="William"/>
    <s v="Jones"/>
    <s v="William Jones"/>
    <s v="MKT04"/>
    <x v="1"/>
    <x v="122"/>
    <n v="8"/>
    <n v="107903"/>
    <n v="42"/>
    <x v="0"/>
    <x v="2"/>
    <n v="0"/>
    <n v="0"/>
  </r>
  <r>
    <s v="EMP055"/>
    <s v="William"/>
    <s v="Williams"/>
    <s v="William Williams"/>
    <s v="IT02"/>
    <x v="0"/>
    <x v="123"/>
    <n v="7"/>
    <n v="62818"/>
    <n v="34"/>
    <x v="0"/>
    <x v="2"/>
    <n v="0"/>
    <n v="0"/>
  </r>
  <r>
    <s v="EMP108"/>
    <s v="David"/>
    <s v="Williams"/>
    <s v="David Williams"/>
    <s v="HR01"/>
    <x v="5"/>
    <x v="124"/>
    <n v="7"/>
    <n v="85151"/>
    <n v="35"/>
    <x v="0"/>
    <x v="2"/>
    <n v="0"/>
    <n v="0"/>
  </r>
  <r>
    <s v="EMP051"/>
    <s v="Jane"/>
    <s v="Davis"/>
    <s v="Jane Davis"/>
    <s v="FIN03"/>
    <x v="2"/>
    <x v="125"/>
    <n v="10"/>
    <n v="46390"/>
    <n v="95"/>
    <x v="0"/>
    <x v="4"/>
    <n v="0.12"/>
    <n v="5566.8"/>
  </r>
  <r>
    <s v="EMP059"/>
    <s v="John"/>
    <s v="Martinez"/>
    <s v="John Martinez"/>
    <s v="HR01"/>
    <x v="5"/>
    <x v="126"/>
    <n v="4"/>
    <n v="111920"/>
    <n v="90"/>
    <x v="1"/>
    <x v="3"/>
    <n v="0.08"/>
    <n v="8953.6"/>
  </r>
  <r>
    <s v="EMP049"/>
    <s v="David"/>
    <s v="Anderson"/>
    <s v="David Anderson"/>
    <s v="HR01"/>
    <x v="5"/>
    <x v="127"/>
    <n v="8"/>
    <n v="115618"/>
    <n v="42"/>
    <x v="0"/>
    <x v="2"/>
    <n v="0"/>
    <n v="0"/>
  </r>
  <r>
    <s v="EMP089"/>
    <s v="Sarah"/>
    <s v="Smith"/>
    <s v="Sarah Smith"/>
    <s v="SAL05"/>
    <x v="4"/>
    <x v="128"/>
    <n v="2"/>
    <n v="110618"/>
    <n v="88"/>
    <x v="2"/>
    <x v="3"/>
    <n v="0.08"/>
    <n v="8849.44"/>
  </r>
  <r>
    <s v="EMP022"/>
    <s v="Melissa"/>
    <s v="Hernandez"/>
    <s v="Melissa Hernandez"/>
    <s v="OPS06"/>
    <x v="3"/>
    <x v="129"/>
    <n v="4"/>
    <n v="108395"/>
    <n v="78"/>
    <x v="1"/>
    <x v="1"/>
    <n v="0.05"/>
    <n v="5419.75"/>
  </r>
  <r>
    <s v="EMP058"/>
    <s v="Melissa"/>
    <s v="Johnson"/>
    <s v="Melissa Johnson"/>
    <s v="FIN03"/>
    <x v="2"/>
    <x v="130"/>
    <n v="8"/>
    <n v="88005"/>
    <n v="69"/>
    <x v="0"/>
    <x v="0"/>
    <n v="0.02"/>
    <n v="1760.1000000000001"/>
  </r>
  <r>
    <s v="EMP130"/>
    <s v="Jane"/>
    <s v="Garcia"/>
    <s v="Jane Garcia"/>
    <s v="MKT04"/>
    <x v="1"/>
    <x v="46"/>
    <n v="4"/>
    <n v="83007"/>
    <n v="82"/>
    <x v="0"/>
    <x v="1"/>
    <n v="0.05"/>
    <n v="4150.3500000000004"/>
  </r>
  <r>
    <s v="EMP038"/>
    <s v="David"/>
    <s v="Davis"/>
    <s v="David Davis"/>
    <s v="IT02"/>
    <x v="0"/>
    <x v="131"/>
    <n v="7"/>
    <n v="61547"/>
    <n v="68"/>
    <x v="0"/>
    <x v="0"/>
    <n v="0.02"/>
    <n v="1230.94"/>
  </r>
  <r>
    <s v="EMP148"/>
    <s v="James"/>
    <s v="Wilson"/>
    <s v="James Wilson"/>
    <s v="SAL05"/>
    <x v="4"/>
    <x v="132"/>
    <n v="5"/>
    <n v="64757.870967741903"/>
    <n v="52"/>
    <x v="0"/>
    <x v="0"/>
    <n v="0.02"/>
    <n v="1295.1574193548381"/>
  </r>
  <r>
    <s v="EMP002"/>
    <s v="Richard"/>
    <s v="Johnson"/>
    <s v="Richard Johnson"/>
    <s v="OPS06"/>
    <x v="3"/>
    <x v="133"/>
    <n v="9"/>
    <n v="50399"/>
    <n v="92"/>
    <x v="1"/>
    <x v="3"/>
    <n v="0.08"/>
    <n v="4031.92"/>
  </r>
  <r>
    <s v="EMP053"/>
    <s v="Richard"/>
    <s v="Williams"/>
    <s v="Richard Williams"/>
    <s v="FIN03"/>
    <x v="2"/>
    <x v="134"/>
    <n v="10"/>
    <n v="72419.941176470602"/>
    <n v="62"/>
    <x v="0"/>
    <x v="0"/>
    <n v="0.02"/>
    <n v="1448.3988235294121"/>
  </r>
  <r>
    <s v="EMP131"/>
    <s v="John"/>
    <s v="Hernandez"/>
    <s v="John Hernandez"/>
    <s v="OPS06"/>
    <x v="3"/>
    <x v="135"/>
    <n v="8"/>
    <n v="52720"/>
    <n v="68"/>
    <x v="0"/>
    <x v="0"/>
    <n v="0.02"/>
    <n v="1054.4000000000001"/>
  </r>
  <r>
    <s v="EMP104"/>
    <s v="Sarah"/>
    <s v="Gonzalez"/>
    <s v="Sarah Gonzalez"/>
    <s v="OPS06"/>
    <x v="3"/>
    <x v="136"/>
    <n v="8"/>
    <n v="65065"/>
    <n v="98"/>
    <x v="0"/>
    <x v="4"/>
    <n v="0.12"/>
    <n v="7807.7999999999993"/>
  </r>
  <r>
    <s v="EMP100"/>
    <s v="Melissa"/>
    <s v="Hernandez"/>
    <s v="Melissa Hernandez"/>
    <s v="SAL05"/>
    <x v="4"/>
    <x v="137"/>
    <n v="11"/>
    <n v="64757.870967741903"/>
    <n v="94"/>
    <x v="2"/>
    <x v="3"/>
    <n v="0.08"/>
    <n v="5180.6296774193524"/>
  </r>
  <r>
    <s v="EMP117"/>
    <s v="Melissa"/>
    <s v="Hernandez"/>
    <s v="Melissa Hernandez"/>
    <s v="OPS06"/>
    <x v="3"/>
    <x v="138"/>
    <n v="7"/>
    <n v="108119"/>
    <n v="57"/>
    <x v="2"/>
    <x v="0"/>
    <n v="0.02"/>
    <n v="2162.38"/>
  </r>
  <r>
    <s v="EMP088"/>
    <s v="John"/>
    <s v="Davis"/>
    <s v="John Davis"/>
    <s v="IT02"/>
    <x v="0"/>
    <x v="139"/>
    <n v="6"/>
    <n v="68901.166666666701"/>
    <n v="96"/>
    <x v="0"/>
    <x v="4"/>
    <n v="0.12"/>
    <n v="8268.1400000000031"/>
  </r>
  <r>
    <s v="EMP075"/>
    <s v="Richard"/>
    <s v="Davis"/>
    <s v="Richard Davis"/>
    <s v="HR01"/>
    <x v="5"/>
    <x v="140"/>
    <n v="3"/>
    <n v="106896"/>
    <n v="52"/>
    <x v="1"/>
    <x v="0"/>
    <n v="0.02"/>
    <n v="2137.92"/>
  </r>
  <r>
    <s v="EMP122"/>
    <m/>
    <s v="Jones"/>
    <s v="Jones"/>
    <s v="IT02"/>
    <x v="0"/>
    <x v="141"/>
    <n v="6"/>
    <n v="112887"/>
    <n v="59"/>
    <x v="0"/>
    <x v="0"/>
    <n v="0.02"/>
    <n v="2257.7400000000002"/>
  </r>
  <r>
    <s v="EMP021"/>
    <s v="William"/>
    <s v="Rodriguez"/>
    <s v="William Rodriguez"/>
    <s v="FIN03"/>
    <x v="2"/>
    <x v="142"/>
    <n v="3"/>
    <n v="85457"/>
    <n v="79"/>
    <x v="0"/>
    <x v="1"/>
    <n v="0.05"/>
    <n v="4272.8500000000004"/>
  </r>
  <r>
    <s v="EMP072"/>
    <s v="Melissa"/>
    <s v="Miller"/>
    <s v="Melissa Miller"/>
    <s v="SAL05"/>
    <x v="4"/>
    <x v="143"/>
    <n v="10"/>
    <n v="62798"/>
    <n v="30"/>
    <x v="0"/>
    <x v="2"/>
    <n v="0"/>
    <n v="0"/>
  </r>
  <r>
    <s v="EMP107"/>
    <s v="Emily"/>
    <s v="Martinez"/>
    <s v="Emily Martinez"/>
    <s v="OPS06"/>
    <x v="3"/>
    <x v="144"/>
    <n v="4"/>
    <n v="47794"/>
    <n v="73"/>
    <x v="1"/>
    <x v="1"/>
    <n v="0.05"/>
    <n v="2389.7000000000003"/>
  </r>
  <r>
    <s v="EMP093"/>
    <s v="James"/>
    <s v="Rodriguez"/>
    <s v="James Rodriguez"/>
    <s v="MKT04"/>
    <x v="1"/>
    <x v="145"/>
    <n v="10"/>
    <n v="93094"/>
    <n v="74"/>
    <x v="0"/>
    <x v="1"/>
    <n v="0.05"/>
    <n v="4654.7"/>
  </r>
  <r>
    <s v="EMP103"/>
    <s v="Amanda"/>
    <s v="Brown"/>
    <s v="Amanda Brown"/>
    <s v="IT02"/>
    <x v="0"/>
    <x v="146"/>
    <n v="3"/>
    <n v="118634"/>
    <n v="91"/>
    <x v="0"/>
    <x v="3"/>
    <n v="0.08"/>
    <n v="9490.71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9A93F9-6FD6-48A0-8F2E-4F39008944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Employment Status">
  <location ref="A15:B19" firstHeaderRow="1" firstDataRow="1" firstDataCol="1"/>
  <pivotFields count="17">
    <pivotField showAll="0"/>
    <pivotField showAll="0"/>
    <pivotField showAll="0"/>
    <pivotField showAll="0"/>
    <pivotField showAll="0"/>
    <pivotField showAll="0">
      <items count="7">
        <item x="2"/>
        <item x="5"/>
        <item x="0"/>
        <item x="1"/>
        <item x="3"/>
        <item x="4"/>
        <item t="default"/>
      </items>
    </pivotField>
    <pivotField numFmtId="14" showAll="0">
      <items count="148">
        <item x="35"/>
        <item x="72"/>
        <item x="93"/>
        <item x="61"/>
        <item x="30"/>
        <item x="137"/>
        <item x="69"/>
        <item x="29"/>
        <item x="134"/>
        <item x="90"/>
        <item x="98"/>
        <item x="78"/>
        <item x="16"/>
        <item x="2"/>
        <item x="9"/>
        <item x="11"/>
        <item x="145"/>
        <item x="125"/>
        <item x="44"/>
        <item x="102"/>
        <item x="143"/>
        <item x="23"/>
        <item x="19"/>
        <item x="50"/>
        <item x="111"/>
        <item x="73"/>
        <item x="64"/>
        <item x="105"/>
        <item x="107"/>
        <item x="47"/>
        <item x="75"/>
        <item x="34"/>
        <item x="133"/>
        <item x="65"/>
        <item x="62"/>
        <item x="87"/>
        <item x="60"/>
        <item x="17"/>
        <item x="20"/>
        <item x="136"/>
        <item x="127"/>
        <item x="118"/>
        <item x="39"/>
        <item x="68"/>
        <item x="113"/>
        <item x="130"/>
        <item x="0"/>
        <item x="100"/>
        <item x="70"/>
        <item x="88"/>
        <item x="40"/>
        <item x="122"/>
        <item x="94"/>
        <item x="28"/>
        <item x="18"/>
        <item x="135"/>
        <item x="91"/>
        <item x="8"/>
        <item x="56"/>
        <item x="124"/>
        <item x="123"/>
        <item x="131"/>
        <item x="79"/>
        <item x="92"/>
        <item x="52"/>
        <item x="106"/>
        <item x="42"/>
        <item x="74"/>
        <item x="66"/>
        <item x="77"/>
        <item x="138"/>
        <item x="89"/>
        <item x="51"/>
        <item x="97"/>
        <item x="43"/>
        <item x="26"/>
        <item x="32"/>
        <item x="45"/>
        <item x="86"/>
        <item x="141"/>
        <item x="14"/>
        <item x="5"/>
        <item x="101"/>
        <item x="139"/>
        <item x="10"/>
        <item x="38"/>
        <item x="59"/>
        <item x="114"/>
        <item x="48"/>
        <item x="109"/>
        <item x="13"/>
        <item x="41"/>
        <item x="96"/>
        <item x="84"/>
        <item x="7"/>
        <item x="120"/>
        <item x="55"/>
        <item x="53"/>
        <item x="103"/>
        <item x="21"/>
        <item x="12"/>
        <item x="132"/>
        <item x="82"/>
        <item x="76"/>
        <item x="104"/>
        <item x="67"/>
        <item x="108"/>
        <item x="85"/>
        <item x="46"/>
        <item x="95"/>
        <item x="117"/>
        <item x="116"/>
        <item x="33"/>
        <item x="121"/>
        <item x="49"/>
        <item x="36"/>
        <item x="129"/>
        <item x="126"/>
        <item x="112"/>
        <item x="110"/>
        <item x="144"/>
        <item x="24"/>
        <item x="37"/>
        <item x="81"/>
        <item x="27"/>
        <item x="1"/>
        <item x="71"/>
        <item x="63"/>
        <item x="146"/>
        <item x="22"/>
        <item x="80"/>
        <item x="4"/>
        <item x="3"/>
        <item x="119"/>
        <item x="83"/>
        <item x="115"/>
        <item x="142"/>
        <item x="54"/>
        <item x="140"/>
        <item x="25"/>
        <item x="15"/>
        <item x="99"/>
        <item x="31"/>
        <item x="58"/>
        <item x="128"/>
        <item x="57"/>
        <item x="6"/>
        <item t="default"/>
      </items>
    </pivotField>
    <pivotField numFmtId="1" showAll="0"/>
    <pivotField numFmtId="166" showAll="0"/>
    <pivotField dataField="1"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6">
        <item x="1"/>
        <item x="0"/>
        <item x="3"/>
        <item x="2"/>
        <item x="4"/>
        <item t="default"/>
      </items>
    </pivotField>
    <pivotField numFmtId="2"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0"/>
  </rowFields>
  <rowItems count="4">
    <i>
      <x v="2"/>
    </i>
    <i>
      <x/>
    </i>
    <i>
      <x v="1"/>
    </i>
    <i t="grand">
      <x/>
    </i>
  </rowItems>
  <colItems count="1">
    <i/>
  </colItems>
  <dataFields count="1">
    <dataField name="Average Performance Score" fld="9" subtotal="average" baseField="10" baseItem="0"/>
  </dataFields>
  <formats count="4">
    <format dxfId="3">
      <pivotArea collapsedLevelsAreSubtotals="1" fieldPosition="0">
        <references count="1">
          <reference field="10" count="1">
            <x v="1"/>
          </reference>
        </references>
      </pivotArea>
    </format>
    <format dxfId="2">
      <pivotArea collapsedLevelsAreSubtotals="1" fieldPosition="0">
        <references count="1">
          <reference field="10" count="1">
            <x v="0"/>
          </reference>
        </references>
      </pivotArea>
    </format>
    <format dxfId="1">
      <pivotArea collapsedLevelsAreSubtotals="1" fieldPosition="0">
        <references count="1">
          <reference field="10" count="1">
            <x v="2"/>
          </reference>
        </references>
      </pivotArea>
    </format>
    <format dxfId="0">
      <pivotArea grandRow="1"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0" count="1" selected="0">
            <x v="2"/>
          </reference>
        </references>
      </pivotArea>
    </chartFormat>
    <chartFormat chart="9" format="9">
      <pivotArea type="data" outline="0" fieldPosition="0">
        <references count="2">
          <reference field="4294967294" count="1" selected="0">
            <x v="0"/>
          </reference>
          <reference field="10" count="1" selected="0">
            <x v="0"/>
          </reference>
        </references>
      </pivotArea>
    </chartFormat>
    <chartFormat chart="9" format="10">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EC9E3F-503E-4ED3-BE09-02423CB7D4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showAll="0"/>
    <pivotField showAll="0"/>
    <pivotField showAll="0"/>
    <pivotField showAll="0">
      <items count="7">
        <item x="2"/>
        <item x="5"/>
        <item x="0"/>
        <item x="1"/>
        <item x="3"/>
        <item x="4"/>
        <item t="default"/>
      </items>
    </pivotField>
    <pivotField numFmtId="14" showAll="0">
      <items count="148">
        <item x="35"/>
        <item x="72"/>
        <item x="93"/>
        <item x="61"/>
        <item x="30"/>
        <item x="137"/>
        <item x="69"/>
        <item x="29"/>
        <item x="134"/>
        <item x="90"/>
        <item x="98"/>
        <item x="78"/>
        <item x="16"/>
        <item x="2"/>
        <item x="9"/>
        <item x="11"/>
        <item x="145"/>
        <item x="125"/>
        <item x="44"/>
        <item x="102"/>
        <item x="143"/>
        <item x="23"/>
        <item x="19"/>
        <item x="50"/>
        <item x="111"/>
        <item x="73"/>
        <item x="64"/>
        <item x="105"/>
        <item x="107"/>
        <item x="47"/>
        <item x="75"/>
        <item x="34"/>
        <item x="133"/>
        <item x="65"/>
        <item x="62"/>
        <item x="87"/>
        <item x="60"/>
        <item x="17"/>
        <item x="20"/>
        <item x="136"/>
        <item x="127"/>
        <item x="118"/>
        <item x="39"/>
        <item x="68"/>
        <item x="113"/>
        <item x="130"/>
        <item x="0"/>
        <item x="100"/>
        <item x="70"/>
        <item x="88"/>
        <item x="40"/>
        <item x="122"/>
        <item x="94"/>
        <item x="28"/>
        <item x="18"/>
        <item x="135"/>
        <item x="91"/>
        <item x="8"/>
        <item x="56"/>
        <item x="124"/>
        <item x="123"/>
        <item x="131"/>
        <item x="79"/>
        <item x="92"/>
        <item x="52"/>
        <item x="106"/>
        <item x="42"/>
        <item x="74"/>
        <item x="66"/>
        <item x="77"/>
        <item x="138"/>
        <item x="89"/>
        <item x="51"/>
        <item x="97"/>
        <item x="43"/>
        <item x="26"/>
        <item x="32"/>
        <item x="45"/>
        <item x="86"/>
        <item x="141"/>
        <item x="14"/>
        <item x="5"/>
        <item x="101"/>
        <item x="139"/>
        <item x="10"/>
        <item x="38"/>
        <item x="59"/>
        <item x="114"/>
        <item x="48"/>
        <item x="109"/>
        <item x="13"/>
        <item x="41"/>
        <item x="96"/>
        <item x="84"/>
        <item x="7"/>
        <item x="120"/>
        <item x="55"/>
        <item x="53"/>
        <item x="103"/>
        <item x="21"/>
        <item x="12"/>
        <item x="132"/>
        <item x="82"/>
        <item x="76"/>
        <item x="104"/>
        <item x="67"/>
        <item x="108"/>
        <item x="85"/>
        <item x="46"/>
        <item x="95"/>
        <item x="117"/>
        <item x="116"/>
        <item x="33"/>
        <item x="121"/>
        <item x="49"/>
        <item x="36"/>
        <item x="129"/>
        <item x="126"/>
        <item x="112"/>
        <item x="110"/>
        <item x="144"/>
        <item x="24"/>
        <item x="37"/>
        <item x="81"/>
        <item x="27"/>
        <item x="1"/>
        <item x="71"/>
        <item x="63"/>
        <item x="146"/>
        <item x="22"/>
        <item x="80"/>
        <item x="4"/>
        <item x="3"/>
        <item x="119"/>
        <item x="83"/>
        <item x="115"/>
        <item x="142"/>
        <item x="54"/>
        <item x="140"/>
        <item x="25"/>
        <item x="15"/>
        <item x="99"/>
        <item x="31"/>
        <item x="58"/>
        <item x="128"/>
        <item x="57"/>
        <item x="6"/>
        <item t="default"/>
      </items>
    </pivotField>
    <pivotField numFmtId="1" showAll="0"/>
    <pivotField numFmtId="166" showAll="0"/>
    <pivotField showAll="0"/>
    <pivotField showAll="0">
      <items count="4">
        <item x="0"/>
        <item x="1"/>
        <item x="2"/>
        <item t="default"/>
      </items>
    </pivotField>
    <pivotField showAll="0">
      <items count="6">
        <item x="1"/>
        <item x="0"/>
        <item x="3"/>
        <item x="2"/>
        <item x="4"/>
        <item t="default"/>
      </items>
    </pivotField>
    <pivotField numFmtId="2"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Total Employe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39BF9A-5FC7-42A1-9853-4FCDDD0AC6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s">
  <location ref="D3:E10" firstHeaderRow="1" firstDataRow="1" firstDataCol="1"/>
  <pivotFields count="17">
    <pivotField showAll="0"/>
    <pivotField showAll="0"/>
    <pivotField showAll="0"/>
    <pivotField showAll="0"/>
    <pivotField showAll="0"/>
    <pivotField axis="axisRow" showAll="0">
      <items count="7">
        <item x="2"/>
        <item x="5"/>
        <item x="0"/>
        <item x="1"/>
        <item x="3"/>
        <item x="4"/>
        <item t="default"/>
      </items>
    </pivotField>
    <pivotField numFmtId="14" showAll="0">
      <items count="148">
        <item x="35"/>
        <item x="72"/>
        <item x="93"/>
        <item x="61"/>
        <item x="30"/>
        <item x="137"/>
        <item x="69"/>
        <item x="29"/>
        <item x="134"/>
        <item x="90"/>
        <item x="98"/>
        <item x="78"/>
        <item x="16"/>
        <item x="2"/>
        <item x="9"/>
        <item x="11"/>
        <item x="145"/>
        <item x="125"/>
        <item x="44"/>
        <item x="102"/>
        <item x="143"/>
        <item x="23"/>
        <item x="19"/>
        <item x="50"/>
        <item x="111"/>
        <item x="73"/>
        <item x="64"/>
        <item x="105"/>
        <item x="107"/>
        <item x="47"/>
        <item x="75"/>
        <item x="34"/>
        <item x="133"/>
        <item x="65"/>
        <item x="62"/>
        <item x="87"/>
        <item x="60"/>
        <item x="17"/>
        <item x="20"/>
        <item x="136"/>
        <item x="127"/>
        <item x="118"/>
        <item x="39"/>
        <item x="68"/>
        <item x="113"/>
        <item x="130"/>
        <item x="0"/>
        <item x="100"/>
        <item x="70"/>
        <item x="88"/>
        <item x="40"/>
        <item x="122"/>
        <item x="94"/>
        <item x="28"/>
        <item x="18"/>
        <item x="135"/>
        <item x="91"/>
        <item x="8"/>
        <item x="56"/>
        <item x="124"/>
        <item x="123"/>
        <item x="131"/>
        <item x="79"/>
        <item x="92"/>
        <item x="52"/>
        <item x="106"/>
        <item x="42"/>
        <item x="74"/>
        <item x="66"/>
        <item x="77"/>
        <item x="138"/>
        <item x="89"/>
        <item x="51"/>
        <item x="97"/>
        <item x="43"/>
        <item x="26"/>
        <item x="32"/>
        <item x="45"/>
        <item x="86"/>
        <item x="141"/>
        <item x="14"/>
        <item x="5"/>
        <item x="101"/>
        <item x="139"/>
        <item x="10"/>
        <item x="38"/>
        <item x="59"/>
        <item x="114"/>
        <item x="48"/>
        <item x="109"/>
        <item x="13"/>
        <item x="41"/>
        <item x="96"/>
        <item x="84"/>
        <item x="7"/>
        <item x="120"/>
        <item x="55"/>
        <item x="53"/>
        <item x="103"/>
        <item x="21"/>
        <item x="12"/>
        <item x="132"/>
        <item x="82"/>
        <item x="76"/>
        <item x="104"/>
        <item x="67"/>
        <item x="108"/>
        <item x="85"/>
        <item x="46"/>
        <item x="95"/>
        <item x="117"/>
        <item x="116"/>
        <item x="33"/>
        <item x="121"/>
        <item x="49"/>
        <item x="36"/>
        <item x="129"/>
        <item x="126"/>
        <item x="112"/>
        <item x="110"/>
        <item x="144"/>
        <item x="24"/>
        <item x="37"/>
        <item x="81"/>
        <item x="27"/>
        <item x="1"/>
        <item x="71"/>
        <item x="63"/>
        <item x="146"/>
        <item x="22"/>
        <item x="80"/>
        <item x="4"/>
        <item x="3"/>
        <item x="119"/>
        <item x="83"/>
        <item x="115"/>
        <item x="142"/>
        <item x="54"/>
        <item x="140"/>
        <item x="25"/>
        <item x="15"/>
        <item x="99"/>
        <item x="31"/>
        <item x="58"/>
        <item x="128"/>
        <item x="57"/>
        <item x="6"/>
        <item t="default"/>
      </items>
    </pivotField>
    <pivotField numFmtId="1" showAll="0"/>
    <pivotField dataField="1" numFmtId="166" showAll="0"/>
    <pivotField showAll="0"/>
    <pivotField showAll="0">
      <items count="4">
        <item x="0"/>
        <item x="1"/>
        <item x="2"/>
        <item t="default"/>
      </items>
    </pivotField>
    <pivotField showAll="0">
      <items count="6">
        <item x="1"/>
        <item x="0"/>
        <item x="3"/>
        <item x="2"/>
        <item x="4"/>
        <item t="default"/>
      </items>
    </pivotField>
    <pivotField numFmtId="2"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5"/>
  </rowFields>
  <rowItems count="7">
    <i>
      <x/>
    </i>
    <i>
      <x v="1"/>
    </i>
    <i>
      <x v="2"/>
    </i>
    <i>
      <x v="3"/>
    </i>
    <i>
      <x v="4"/>
    </i>
    <i>
      <x v="5"/>
    </i>
    <i t="grand">
      <x/>
    </i>
  </rowItems>
  <colItems count="1">
    <i/>
  </colItems>
  <dataFields count="1">
    <dataField name="Average Salary" fld="8" subtotal="average" baseField="5" baseItem="0" numFmtId="166"/>
  </dataFields>
  <formats count="2">
    <format dxfId="5">
      <pivotArea grandRow="1" outline="0" collapsedLevelsAreSubtotals="1" fieldPosition="0"/>
    </format>
    <format dxfId="4">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A041E8-98EA-473D-A2C0-7082AD0931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erformance Band">
  <location ref="E15:F21" firstHeaderRow="1" firstDataRow="1" firstDataCol="1"/>
  <pivotFields count="17">
    <pivotField showAll="0"/>
    <pivotField showAll="0"/>
    <pivotField showAll="0"/>
    <pivotField showAll="0"/>
    <pivotField showAll="0"/>
    <pivotField showAll="0">
      <items count="7">
        <item x="2"/>
        <item x="5"/>
        <item x="0"/>
        <item x="1"/>
        <item x="3"/>
        <item x="4"/>
        <item t="default"/>
      </items>
    </pivotField>
    <pivotField numFmtId="14" showAll="0">
      <items count="148">
        <item x="35"/>
        <item x="72"/>
        <item x="93"/>
        <item x="61"/>
        <item x="30"/>
        <item x="137"/>
        <item x="69"/>
        <item x="29"/>
        <item x="134"/>
        <item x="90"/>
        <item x="98"/>
        <item x="78"/>
        <item x="16"/>
        <item x="2"/>
        <item x="9"/>
        <item x="11"/>
        <item x="145"/>
        <item x="125"/>
        <item x="44"/>
        <item x="102"/>
        <item x="143"/>
        <item x="23"/>
        <item x="19"/>
        <item x="50"/>
        <item x="111"/>
        <item x="73"/>
        <item x="64"/>
        <item x="105"/>
        <item x="107"/>
        <item x="47"/>
        <item x="75"/>
        <item x="34"/>
        <item x="133"/>
        <item x="65"/>
        <item x="62"/>
        <item x="87"/>
        <item x="60"/>
        <item x="17"/>
        <item x="20"/>
        <item x="136"/>
        <item x="127"/>
        <item x="118"/>
        <item x="39"/>
        <item x="68"/>
        <item x="113"/>
        <item x="130"/>
        <item x="0"/>
        <item x="100"/>
        <item x="70"/>
        <item x="88"/>
        <item x="40"/>
        <item x="122"/>
        <item x="94"/>
        <item x="28"/>
        <item x="18"/>
        <item x="135"/>
        <item x="91"/>
        <item x="8"/>
        <item x="56"/>
        <item x="124"/>
        <item x="123"/>
        <item x="131"/>
        <item x="79"/>
        <item x="92"/>
        <item x="52"/>
        <item x="106"/>
        <item x="42"/>
        <item x="74"/>
        <item x="66"/>
        <item x="77"/>
        <item x="138"/>
        <item x="89"/>
        <item x="51"/>
        <item x="97"/>
        <item x="43"/>
        <item x="26"/>
        <item x="32"/>
        <item x="45"/>
        <item x="86"/>
        <item x="141"/>
        <item x="14"/>
        <item x="5"/>
        <item x="101"/>
        <item x="139"/>
        <item x="10"/>
        <item x="38"/>
        <item x="59"/>
        <item x="114"/>
        <item x="48"/>
        <item x="109"/>
        <item x="13"/>
        <item x="41"/>
        <item x="96"/>
        <item x="84"/>
        <item x="7"/>
        <item x="120"/>
        <item x="55"/>
        <item x="53"/>
        <item x="103"/>
        <item x="21"/>
        <item x="12"/>
        <item x="132"/>
        <item x="82"/>
        <item x="76"/>
        <item x="104"/>
        <item x="67"/>
        <item x="108"/>
        <item x="85"/>
        <item x="46"/>
        <item x="95"/>
        <item x="117"/>
        <item x="116"/>
        <item x="33"/>
        <item x="121"/>
        <item x="49"/>
        <item x="36"/>
        <item x="129"/>
        <item x="126"/>
        <item x="112"/>
        <item x="110"/>
        <item x="144"/>
        <item x="24"/>
        <item x="37"/>
        <item x="81"/>
        <item x="27"/>
        <item x="1"/>
        <item x="71"/>
        <item x="63"/>
        <item x="146"/>
        <item x="22"/>
        <item x="80"/>
        <item x="4"/>
        <item x="3"/>
        <item x="119"/>
        <item x="83"/>
        <item x="115"/>
        <item x="142"/>
        <item x="54"/>
        <item x="140"/>
        <item x="25"/>
        <item x="15"/>
        <item x="99"/>
        <item x="31"/>
        <item x="58"/>
        <item x="128"/>
        <item x="57"/>
        <item x="6"/>
        <item t="default"/>
      </items>
    </pivotField>
    <pivotField numFmtId="1" showAll="0"/>
    <pivotField numFmtId="166" showAll="0"/>
    <pivotField showAll="0"/>
    <pivotField showAll="0">
      <items count="4">
        <item x="0"/>
        <item x="1"/>
        <item x="2"/>
        <item t="default"/>
      </items>
    </pivotField>
    <pivotField axis="axisRow" showAll="0" sortType="descending">
      <items count="6">
        <item x="1"/>
        <item x="0"/>
        <item x="3"/>
        <item x="2"/>
        <item x="4"/>
        <item t="default"/>
      </items>
      <autoSortScope>
        <pivotArea dataOnly="0" outline="0" fieldPosition="0">
          <references count="1">
            <reference field="4294967294" count="1" selected="0">
              <x v="0"/>
            </reference>
          </references>
        </pivotArea>
      </autoSortScope>
    </pivotField>
    <pivotField numFmtId="2" showAll="0"/>
    <pivotField dataField="1"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1"/>
  </rowFields>
  <rowItems count="6">
    <i>
      <x/>
    </i>
    <i>
      <x v="2"/>
    </i>
    <i>
      <x v="4"/>
    </i>
    <i>
      <x v="1"/>
    </i>
    <i>
      <x v="3"/>
    </i>
    <i t="grand">
      <x/>
    </i>
  </rowItems>
  <colItems count="1">
    <i/>
  </colItems>
  <dataFields count="1">
    <dataField name="Bonus Payout" fld="13" baseField="11" baseItem="0" numFmtId="167"/>
  </dataFields>
  <formats count="1">
    <format dxfId="6">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F40968-11FB-48F2-848F-A68D40BE9B3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Hire Year">
  <location ref="D40:E50" firstHeaderRow="1" firstDataRow="1" firstDataCol="1"/>
  <pivotFields count="17">
    <pivotField showAll="0"/>
    <pivotField showAll="0"/>
    <pivotField showAll="0"/>
    <pivotField showAll="0"/>
    <pivotField showAll="0"/>
    <pivotField showAll="0">
      <items count="7">
        <item x="2"/>
        <item x="5"/>
        <item x="0"/>
        <item x="1"/>
        <item x="3"/>
        <item x="4"/>
        <item t="default"/>
      </items>
    </pivotField>
    <pivotField numFmtId="14" showAll="0">
      <items count="148">
        <item x="35"/>
        <item x="72"/>
        <item x="93"/>
        <item x="61"/>
        <item x="30"/>
        <item x="137"/>
        <item x="69"/>
        <item x="29"/>
        <item x="134"/>
        <item x="90"/>
        <item x="98"/>
        <item x="78"/>
        <item x="16"/>
        <item x="2"/>
        <item x="9"/>
        <item x="11"/>
        <item x="145"/>
        <item x="125"/>
        <item x="44"/>
        <item x="102"/>
        <item x="143"/>
        <item x="23"/>
        <item x="19"/>
        <item x="50"/>
        <item x="111"/>
        <item x="73"/>
        <item x="64"/>
        <item x="105"/>
        <item x="107"/>
        <item x="47"/>
        <item x="75"/>
        <item x="34"/>
        <item x="133"/>
        <item x="65"/>
        <item x="62"/>
        <item x="87"/>
        <item x="60"/>
        <item x="17"/>
        <item x="20"/>
        <item x="136"/>
        <item x="127"/>
        <item x="118"/>
        <item x="39"/>
        <item x="68"/>
        <item x="113"/>
        <item x="130"/>
        <item x="0"/>
        <item x="100"/>
        <item x="70"/>
        <item x="88"/>
        <item x="40"/>
        <item x="122"/>
        <item x="94"/>
        <item x="28"/>
        <item x="18"/>
        <item x="135"/>
        <item x="91"/>
        <item x="8"/>
        <item x="56"/>
        <item x="124"/>
        <item x="123"/>
        <item x="131"/>
        <item x="79"/>
        <item x="92"/>
        <item x="52"/>
        <item x="106"/>
        <item x="42"/>
        <item x="74"/>
        <item x="66"/>
        <item x="77"/>
        <item x="138"/>
        <item x="89"/>
        <item x="51"/>
        <item x="97"/>
        <item x="43"/>
        <item x="26"/>
        <item x="32"/>
        <item x="45"/>
        <item x="86"/>
        <item x="141"/>
        <item x="14"/>
        <item x="5"/>
        <item x="101"/>
        <item x="139"/>
        <item x="10"/>
        <item x="38"/>
        <item x="59"/>
        <item x="114"/>
        <item x="48"/>
        <item x="109"/>
        <item x="13"/>
        <item x="41"/>
        <item x="96"/>
        <item x="84"/>
        <item x="7"/>
        <item x="120"/>
        <item x="55"/>
        <item x="53"/>
        <item x="103"/>
        <item x="21"/>
        <item x="12"/>
        <item x="132"/>
        <item x="82"/>
        <item x="76"/>
        <item x="104"/>
        <item x="67"/>
        <item x="108"/>
        <item x="85"/>
        <item x="46"/>
        <item x="95"/>
        <item x="117"/>
        <item x="116"/>
        <item x="33"/>
        <item x="121"/>
        <item x="49"/>
        <item x="36"/>
        <item x="129"/>
        <item x="126"/>
        <item x="112"/>
        <item x="110"/>
        <item x="144"/>
        <item x="24"/>
        <item x="37"/>
        <item x="81"/>
        <item x="27"/>
        <item x="1"/>
        <item x="71"/>
        <item x="63"/>
        <item x="146"/>
        <item x="22"/>
        <item x="80"/>
        <item x="4"/>
        <item x="3"/>
        <item x="119"/>
        <item x="83"/>
        <item x="115"/>
        <item x="142"/>
        <item x="54"/>
        <item x="140"/>
        <item x="25"/>
        <item x="15"/>
        <item x="99"/>
        <item x="31"/>
        <item x="58"/>
        <item x="128"/>
        <item x="57"/>
        <item x="6"/>
        <item t="default"/>
      </items>
    </pivotField>
    <pivotField numFmtId="1" showAll="0"/>
    <pivotField numFmtId="166" showAll="0"/>
    <pivotField dataField="1" showAll="0"/>
    <pivotField showAll="0">
      <items count="4">
        <item x="0"/>
        <item x="1"/>
        <item x="2"/>
        <item t="default"/>
      </items>
    </pivotField>
    <pivotField showAll="0">
      <items count="6">
        <item x="1"/>
        <item x="0"/>
        <item x="3"/>
        <item x="2"/>
        <item x="4"/>
        <item t="default"/>
      </items>
    </pivotField>
    <pivotField numFmtId="2"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12">
        <item x="0"/>
        <item x="1"/>
        <item x="2"/>
        <item x="3"/>
        <item x="4"/>
        <item x="5"/>
        <item x="6"/>
        <item x="7"/>
        <item x="8"/>
        <item x="9"/>
        <item x="10"/>
        <item t="default"/>
      </items>
    </pivotField>
  </pivotFields>
  <rowFields count="1">
    <field x="16"/>
  </rowFields>
  <rowItems count="10">
    <i>
      <x v="1"/>
    </i>
    <i>
      <x v="2"/>
    </i>
    <i>
      <x v="3"/>
    </i>
    <i>
      <x v="4"/>
    </i>
    <i>
      <x v="5"/>
    </i>
    <i>
      <x v="6"/>
    </i>
    <i>
      <x v="7"/>
    </i>
    <i>
      <x v="8"/>
    </i>
    <i>
      <x v="9"/>
    </i>
    <i t="grand">
      <x/>
    </i>
  </rowItems>
  <colItems count="1">
    <i/>
  </colItems>
  <dataFields count="1">
    <dataField name="Average Perf_Score" fld="9" subtotal="average" baseField="16" baseItem="1"/>
  </dataFields>
  <formats count="2">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033A26-7B2B-48E7-A93A-4E54A38FB54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erformance Band">
  <location ref="A25:B35" firstHeaderRow="1" firstDataRow="1" firstDataCol="1"/>
  <pivotFields count="17">
    <pivotField dataField="1" showAll="0"/>
    <pivotField showAll="0"/>
    <pivotField showAll="0"/>
    <pivotField showAll="0"/>
    <pivotField showAll="0"/>
    <pivotField showAll="0">
      <items count="7">
        <item x="2"/>
        <item x="5"/>
        <item x="0"/>
        <item x="1"/>
        <item x="3"/>
        <item x="4"/>
        <item t="default"/>
      </items>
    </pivotField>
    <pivotField numFmtId="14" showAll="0">
      <items count="148">
        <item x="35"/>
        <item x="72"/>
        <item x="93"/>
        <item x="61"/>
        <item x="30"/>
        <item x="137"/>
        <item x="69"/>
        <item x="29"/>
        <item x="134"/>
        <item x="90"/>
        <item x="98"/>
        <item x="78"/>
        <item x="16"/>
        <item x="2"/>
        <item x="9"/>
        <item x="11"/>
        <item x="145"/>
        <item x="125"/>
        <item x="44"/>
        <item x="102"/>
        <item x="143"/>
        <item x="23"/>
        <item x="19"/>
        <item x="50"/>
        <item x="111"/>
        <item x="73"/>
        <item x="64"/>
        <item x="105"/>
        <item x="107"/>
        <item x="47"/>
        <item x="75"/>
        <item x="34"/>
        <item x="133"/>
        <item x="65"/>
        <item x="62"/>
        <item x="87"/>
        <item x="60"/>
        <item x="17"/>
        <item x="20"/>
        <item x="136"/>
        <item x="127"/>
        <item x="118"/>
        <item x="39"/>
        <item x="68"/>
        <item x="113"/>
        <item x="130"/>
        <item x="0"/>
        <item x="100"/>
        <item x="70"/>
        <item x="88"/>
        <item x="40"/>
        <item x="122"/>
        <item x="94"/>
        <item x="28"/>
        <item x="18"/>
        <item x="135"/>
        <item x="91"/>
        <item x="8"/>
        <item x="56"/>
        <item x="124"/>
        <item x="123"/>
        <item x="131"/>
        <item x="79"/>
        <item x="92"/>
        <item x="52"/>
        <item x="106"/>
        <item x="42"/>
        <item x="74"/>
        <item x="66"/>
        <item x="77"/>
        <item x="138"/>
        <item x="89"/>
        <item x="51"/>
        <item x="97"/>
        <item x="43"/>
        <item x="26"/>
        <item x="32"/>
        <item x="45"/>
        <item x="86"/>
        <item x="141"/>
        <item x="14"/>
        <item x="5"/>
        <item x="101"/>
        <item x="139"/>
        <item x="10"/>
        <item x="38"/>
        <item x="59"/>
        <item x="114"/>
        <item x="48"/>
        <item x="109"/>
        <item x="13"/>
        <item x="41"/>
        <item x="96"/>
        <item x="84"/>
        <item x="7"/>
        <item x="120"/>
        <item x="55"/>
        <item x="53"/>
        <item x="103"/>
        <item x="21"/>
        <item x="12"/>
        <item x="132"/>
        <item x="82"/>
        <item x="76"/>
        <item x="104"/>
        <item x="67"/>
        <item x="108"/>
        <item x="85"/>
        <item x="46"/>
        <item x="95"/>
        <item x="117"/>
        <item x="116"/>
        <item x="33"/>
        <item x="121"/>
        <item x="49"/>
        <item x="36"/>
        <item x="129"/>
        <item x="126"/>
        <item x="112"/>
        <item x="110"/>
        <item x="144"/>
        <item x="24"/>
        <item x="37"/>
        <item x="81"/>
        <item x="27"/>
        <item x="1"/>
        <item x="71"/>
        <item x="63"/>
        <item x="146"/>
        <item x="22"/>
        <item x="80"/>
        <item x="4"/>
        <item x="3"/>
        <item x="119"/>
        <item x="83"/>
        <item x="115"/>
        <item x="142"/>
        <item x="54"/>
        <item x="140"/>
        <item x="25"/>
        <item x="15"/>
        <item x="99"/>
        <item x="31"/>
        <item x="58"/>
        <item x="128"/>
        <item x="57"/>
        <item x="6"/>
        <item t="default"/>
      </items>
    </pivotField>
    <pivotField numFmtId="1" showAll="0"/>
    <pivotField numFmtId="166" showAll="0"/>
    <pivotField showAll="0"/>
    <pivotField showAll="0">
      <items count="4">
        <item x="0"/>
        <item x="1"/>
        <item x="2"/>
        <item t="default"/>
      </items>
    </pivotField>
    <pivotField showAll="0">
      <items count="6">
        <item x="1"/>
        <item x="0"/>
        <item x="3"/>
        <item x="2"/>
        <item x="4"/>
        <item t="default"/>
      </items>
    </pivotField>
    <pivotField numFmtId="2"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12">
        <item x="0"/>
        <item x="1"/>
        <item x="2"/>
        <item x="3"/>
        <item x="4"/>
        <item x="5"/>
        <item x="6"/>
        <item x="7"/>
        <item x="8"/>
        <item x="9"/>
        <item x="10"/>
        <item t="default"/>
      </items>
    </pivotField>
  </pivotFields>
  <rowFields count="1">
    <field x="16"/>
  </rowFields>
  <rowItems count="10">
    <i>
      <x v="1"/>
    </i>
    <i>
      <x v="2"/>
    </i>
    <i>
      <x v="3"/>
    </i>
    <i>
      <x v="4"/>
    </i>
    <i>
      <x v="5"/>
    </i>
    <i>
      <x v="6"/>
    </i>
    <i>
      <x v="7"/>
    </i>
    <i>
      <x v="8"/>
    </i>
    <i>
      <x v="9"/>
    </i>
    <i t="grand">
      <x/>
    </i>
  </rowItems>
  <colItems count="1">
    <i/>
  </colItems>
  <dataFields count="1">
    <dataField name="Count of Emp ID" fld="0" subtotal="count" baseField="0" baseItem="0"/>
  </dataFields>
  <formats count="3">
    <format dxfId="11">
      <pivotArea outline="0" collapsedLevelsAreSubtotals="1" fieldPosition="0"/>
    </format>
    <format dxfId="10">
      <pivotArea dataOnly="0" labelOnly="1" outline="0" axis="axisValues" fieldPosition="0"/>
    </format>
    <format dxfId="9">
      <pivotArea grandRow="1" outline="0" collapsedLevelsAreSubtotals="1" fieldPosition="0"/>
    </format>
  </format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6EDFF5-6463-43C1-906C-8E9E3325382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partments">
  <location ref="I3:J26" firstHeaderRow="1" firstDataRow="1" firstDataCol="1"/>
  <pivotFields count="17">
    <pivotField dataField="1" showAll="0"/>
    <pivotField showAll="0"/>
    <pivotField showAll="0"/>
    <pivotField showAll="0"/>
    <pivotField showAll="0"/>
    <pivotField axis="axisRow" showAll="0" sortType="descending">
      <items count="7">
        <item x="2"/>
        <item x="5"/>
        <item x="0"/>
        <item x="1"/>
        <item x="3"/>
        <item x="4"/>
        <item t="default"/>
      </items>
      <autoSortScope>
        <pivotArea dataOnly="0" outline="0" fieldPosition="0">
          <references count="1">
            <reference field="4294967294" count="1" selected="0">
              <x v="0"/>
            </reference>
          </references>
        </pivotArea>
      </autoSortScope>
    </pivotField>
    <pivotField numFmtId="14" showAll="0">
      <items count="148">
        <item x="35"/>
        <item x="72"/>
        <item x="93"/>
        <item x="61"/>
        <item x="30"/>
        <item x="137"/>
        <item x="69"/>
        <item x="29"/>
        <item x="134"/>
        <item x="90"/>
        <item x="98"/>
        <item x="78"/>
        <item x="16"/>
        <item x="2"/>
        <item x="9"/>
        <item x="11"/>
        <item x="145"/>
        <item x="125"/>
        <item x="44"/>
        <item x="102"/>
        <item x="143"/>
        <item x="23"/>
        <item x="19"/>
        <item x="50"/>
        <item x="111"/>
        <item x="73"/>
        <item x="64"/>
        <item x="105"/>
        <item x="107"/>
        <item x="47"/>
        <item x="75"/>
        <item x="34"/>
        <item x="133"/>
        <item x="65"/>
        <item x="62"/>
        <item x="87"/>
        <item x="60"/>
        <item x="17"/>
        <item x="20"/>
        <item x="136"/>
        <item x="127"/>
        <item x="118"/>
        <item x="39"/>
        <item x="68"/>
        <item x="113"/>
        <item x="130"/>
        <item x="0"/>
        <item x="100"/>
        <item x="70"/>
        <item x="88"/>
        <item x="40"/>
        <item x="122"/>
        <item x="94"/>
        <item x="28"/>
        <item x="18"/>
        <item x="135"/>
        <item x="91"/>
        <item x="8"/>
        <item x="56"/>
        <item x="124"/>
        <item x="123"/>
        <item x="131"/>
        <item x="79"/>
        <item x="92"/>
        <item x="52"/>
        <item x="106"/>
        <item x="42"/>
        <item x="74"/>
        <item x="66"/>
        <item x="77"/>
        <item x="138"/>
        <item x="89"/>
        <item x="51"/>
        <item x="97"/>
        <item x="43"/>
        <item x="26"/>
        <item x="32"/>
        <item x="45"/>
        <item x="86"/>
        <item x="141"/>
        <item x="14"/>
        <item x="5"/>
        <item x="101"/>
        <item x="139"/>
        <item x="10"/>
        <item x="38"/>
        <item x="59"/>
        <item x="114"/>
        <item x="48"/>
        <item x="109"/>
        <item x="13"/>
        <item x="41"/>
        <item x="96"/>
        <item x="84"/>
        <item x="7"/>
        <item x="120"/>
        <item x="55"/>
        <item x="53"/>
        <item x="103"/>
        <item x="21"/>
        <item x="12"/>
        <item x="132"/>
        <item x="82"/>
        <item x="76"/>
        <item x="104"/>
        <item x="67"/>
        <item x="108"/>
        <item x="85"/>
        <item x="46"/>
        <item x="95"/>
        <item x="117"/>
        <item x="116"/>
        <item x="33"/>
        <item x="121"/>
        <item x="49"/>
        <item x="36"/>
        <item x="129"/>
        <item x="126"/>
        <item x="112"/>
        <item x="110"/>
        <item x="144"/>
        <item x="24"/>
        <item x="37"/>
        <item x="81"/>
        <item x="27"/>
        <item x="1"/>
        <item x="71"/>
        <item x="63"/>
        <item x="146"/>
        <item x="22"/>
        <item x="80"/>
        <item x="4"/>
        <item x="3"/>
        <item x="119"/>
        <item x="83"/>
        <item x="115"/>
        <item x="142"/>
        <item x="54"/>
        <item x="140"/>
        <item x="25"/>
        <item x="15"/>
        <item x="99"/>
        <item x="31"/>
        <item x="58"/>
        <item x="128"/>
        <item x="57"/>
        <item x="6"/>
        <item t="default"/>
      </items>
    </pivotField>
    <pivotField numFmtId="1" showAll="0"/>
    <pivotField numFmtId="166" showAll="0"/>
    <pivotField showAll="0"/>
    <pivotField axis="axisRow" showAll="0">
      <items count="4">
        <item x="0"/>
        <item x="1"/>
        <item x="2"/>
        <item t="default"/>
      </items>
    </pivotField>
    <pivotField showAll="0">
      <items count="6">
        <item x="1"/>
        <item x="0"/>
        <item x="3"/>
        <item x="2"/>
        <item x="4"/>
        <item t="default"/>
      </items>
    </pivotField>
    <pivotField numFmtId="2"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2">
    <field x="5"/>
    <field x="10"/>
  </rowFields>
  <rowItems count="23">
    <i>
      <x v="2"/>
    </i>
    <i r="1">
      <x/>
    </i>
    <i r="1">
      <x v="1"/>
    </i>
    <i r="1">
      <x v="2"/>
    </i>
    <i>
      <x v="5"/>
    </i>
    <i r="1">
      <x/>
    </i>
    <i r="1">
      <x v="1"/>
    </i>
    <i r="1">
      <x v="2"/>
    </i>
    <i>
      <x v="4"/>
    </i>
    <i r="1">
      <x/>
    </i>
    <i r="1">
      <x v="1"/>
    </i>
    <i r="1">
      <x v="2"/>
    </i>
    <i>
      <x v="3"/>
    </i>
    <i r="1">
      <x/>
    </i>
    <i r="1">
      <x v="1"/>
    </i>
    <i>
      <x v="1"/>
    </i>
    <i r="1">
      <x/>
    </i>
    <i r="1">
      <x v="1"/>
    </i>
    <i r="1">
      <x v="2"/>
    </i>
    <i>
      <x/>
    </i>
    <i r="1">
      <x/>
    </i>
    <i r="1">
      <x v="1"/>
    </i>
    <i t="grand">
      <x/>
    </i>
  </rowItems>
  <colItems count="1">
    <i/>
  </colItems>
  <dataFields count="1">
    <dataField name="Attrition Rate" fld="0" subtotal="count" baseField="0"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3D8AE2-6A64-4099-9458-D506A3DD7E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Performance Band">
  <location ref="E26:F33" firstHeaderRow="1" firstDataRow="1" firstDataCol="1"/>
  <pivotFields count="17">
    <pivotField showAll="0"/>
    <pivotField showAll="0"/>
    <pivotField showAll="0"/>
    <pivotField showAll="0"/>
    <pivotField showAll="0"/>
    <pivotField axis="axisRow" showAll="0" sortType="descending">
      <items count="7">
        <item x="2"/>
        <item x="5"/>
        <item x="0"/>
        <item x="1"/>
        <item x="3"/>
        <item x="4"/>
        <item t="default"/>
      </items>
      <autoSortScope>
        <pivotArea dataOnly="0" outline="0" fieldPosition="0">
          <references count="1">
            <reference field="4294967294" count="1" selected="0">
              <x v="0"/>
            </reference>
          </references>
        </pivotArea>
      </autoSortScope>
    </pivotField>
    <pivotField numFmtId="14" showAll="0">
      <items count="148">
        <item x="35"/>
        <item x="72"/>
        <item x="93"/>
        <item x="61"/>
        <item x="30"/>
        <item x="137"/>
        <item x="69"/>
        <item x="29"/>
        <item x="134"/>
        <item x="90"/>
        <item x="98"/>
        <item x="78"/>
        <item x="16"/>
        <item x="2"/>
        <item x="9"/>
        <item x="11"/>
        <item x="145"/>
        <item x="125"/>
        <item x="44"/>
        <item x="102"/>
        <item x="143"/>
        <item x="23"/>
        <item x="19"/>
        <item x="50"/>
        <item x="111"/>
        <item x="73"/>
        <item x="64"/>
        <item x="105"/>
        <item x="107"/>
        <item x="47"/>
        <item x="75"/>
        <item x="34"/>
        <item x="133"/>
        <item x="65"/>
        <item x="62"/>
        <item x="87"/>
        <item x="60"/>
        <item x="17"/>
        <item x="20"/>
        <item x="136"/>
        <item x="127"/>
        <item x="118"/>
        <item x="39"/>
        <item x="68"/>
        <item x="113"/>
        <item x="130"/>
        <item x="0"/>
        <item x="100"/>
        <item x="70"/>
        <item x="88"/>
        <item x="40"/>
        <item x="122"/>
        <item x="94"/>
        <item x="28"/>
        <item x="18"/>
        <item x="135"/>
        <item x="91"/>
        <item x="8"/>
        <item x="56"/>
        <item x="124"/>
        <item x="123"/>
        <item x="131"/>
        <item x="79"/>
        <item x="92"/>
        <item x="52"/>
        <item x="106"/>
        <item x="42"/>
        <item x="74"/>
        <item x="66"/>
        <item x="77"/>
        <item x="138"/>
        <item x="89"/>
        <item x="51"/>
        <item x="97"/>
        <item x="43"/>
        <item x="26"/>
        <item x="32"/>
        <item x="45"/>
        <item x="86"/>
        <item x="141"/>
        <item x="14"/>
        <item x="5"/>
        <item x="101"/>
        <item x="139"/>
        <item x="10"/>
        <item x="38"/>
        <item x="59"/>
        <item x="114"/>
        <item x="48"/>
        <item x="109"/>
        <item x="13"/>
        <item x="41"/>
        <item x="96"/>
        <item x="84"/>
        <item x="7"/>
        <item x="120"/>
        <item x="55"/>
        <item x="53"/>
        <item x="103"/>
        <item x="21"/>
        <item x="12"/>
        <item x="132"/>
        <item x="82"/>
        <item x="76"/>
        <item x="104"/>
        <item x="67"/>
        <item x="108"/>
        <item x="85"/>
        <item x="46"/>
        <item x="95"/>
        <item x="117"/>
        <item x="116"/>
        <item x="33"/>
        <item x="121"/>
        <item x="49"/>
        <item x="36"/>
        <item x="129"/>
        <item x="126"/>
        <item x="112"/>
        <item x="110"/>
        <item x="144"/>
        <item x="24"/>
        <item x="37"/>
        <item x="81"/>
        <item x="27"/>
        <item x="1"/>
        <item x="71"/>
        <item x="63"/>
        <item x="146"/>
        <item x="22"/>
        <item x="80"/>
        <item x="4"/>
        <item x="3"/>
        <item x="119"/>
        <item x="83"/>
        <item x="115"/>
        <item x="142"/>
        <item x="54"/>
        <item x="140"/>
        <item x="25"/>
        <item x="15"/>
        <item x="99"/>
        <item x="31"/>
        <item x="58"/>
        <item x="128"/>
        <item x="57"/>
        <item x="6"/>
        <item t="default"/>
      </items>
    </pivotField>
    <pivotField numFmtId="1" showAll="0"/>
    <pivotField numFmtId="166" showAll="0"/>
    <pivotField dataField="1" showAll="0"/>
    <pivotField showAll="0">
      <items count="4">
        <item x="0"/>
        <item x="1"/>
        <item x="2"/>
        <item t="default"/>
      </items>
    </pivotField>
    <pivotField showAll="0">
      <items count="6">
        <item x="1"/>
        <item x="0"/>
        <item x="3"/>
        <item x="2"/>
        <item x="4"/>
        <item t="default"/>
      </items>
    </pivotField>
    <pivotField numFmtId="2"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5"/>
  </rowFields>
  <rowItems count="7">
    <i>
      <x v="3"/>
    </i>
    <i>
      <x v="1"/>
    </i>
    <i>
      <x v="4"/>
    </i>
    <i>
      <x/>
    </i>
    <i>
      <x v="2"/>
    </i>
    <i>
      <x v="5"/>
    </i>
    <i t="grand">
      <x/>
    </i>
  </rowItems>
  <colItems count="1">
    <i/>
  </colItems>
  <dataFields count="1">
    <dataField name="Average of Perf_Score" fld="9" subtotal="average" baseField="5" baseItem="0"/>
  </dataFields>
  <formats count="2">
    <format dxfId="13">
      <pivotArea outline="0" collapsedLevelsAreSubtotals="1" fieldPosition="0"/>
    </format>
    <format dxfId="12">
      <pivotArea dataOnly="0" labelOnly="1" outline="0" axis="axisValues" fieldPosition="0"/>
    </format>
  </format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ABDB7ECE-F864-4159-BAEA-4E283AB51BD8}" sourceName="Department Name">
  <pivotTables>
    <pivotTable tabId="7" name="PivotTable4"/>
    <pivotTable tabId="7" name="PivotTable1"/>
    <pivotTable tabId="7" name="PivotTable2"/>
    <pivotTable tabId="7" name="PivotTable3"/>
    <pivotTable tabId="7" name="PivotTable5"/>
    <pivotTable tabId="7" name="PivotTable6"/>
    <pivotTable tabId="7" name="PivotTable7"/>
    <pivotTable tabId="7" name="PivotTable8"/>
  </pivotTables>
  <data>
    <tabular pivotCacheId="1431077741">
      <items count="6">
        <i x="2" s="1"/>
        <i x="5"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Hire_Date" xr10:uid="{04FF5CAE-443F-4BB3-B63D-48530A803077}" sourceName="Years (Hire Date)">
  <pivotTables>
    <pivotTable tabId="7" name="PivotTable4"/>
    <pivotTable tabId="7" name="PivotTable1"/>
    <pivotTable tabId="7" name="PivotTable2"/>
    <pivotTable tabId="7" name="PivotTable3"/>
    <pivotTable tabId="7" name="PivotTable5"/>
    <pivotTable tabId="7" name="PivotTable6"/>
    <pivotTable tabId="7" name="PivotTable7"/>
    <pivotTable tabId="7" name="PivotTable8"/>
  </pivotTables>
  <data>
    <tabular pivotCacheId="1431077741">
      <items count="11">
        <i x="1" s="1"/>
        <i x="2" s="1"/>
        <i x="3" s="1"/>
        <i x="4" s="1"/>
        <i x="5" s="1"/>
        <i x="6" s="1"/>
        <i x="7" s="1"/>
        <i x="8" s="1"/>
        <i x="9" s="1"/>
        <i x="0" s="1" nd="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65525820-CC55-4153-80D9-A305B323F873}" sourceName="Performance Band">
  <pivotTables>
    <pivotTable tabId="7" name="PivotTable4"/>
    <pivotTable tabId="7" name="PivotTable1"/>
    <pivotTable tabId="7" name="PivotTable2"/>
    <pivotTable tabId="7" name="PivotTable3"/>
    <pivotTable tabId="7" name="PivotTable5"/>
    <pivotTable tabId="7" name="PivotTable6"/>
    <pivotTable tabId="7" name="PivotTable7"/>
    <pivotTable tabId="7" name="PivotTable8"/>
  </pivotTables>
  <data>
    <tabular pivotCacheId="1431077741">
      <items count="5">
        <i x="1" s="1"/>
        <i x="0" s="1"/>
        <i x="3"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DE241EFD-E768-41E9-BD44-08BE4A381CA2}" sourceName="Employment Status">
  <pivotTables>
    <pivotTable tabId="7" name="PivotTable4"/>
    <pivotTable tabId="7" name="PivotTable1"/>
    <pivotTable tabId="7" name="PivotTable2"/>
    <pivotTable tabId="7" name="PivotTable3"/>
    <pivotTable tabId="7" name="PivotTable5"/>
    <pivotTable tabId="7" name="PivotTable6"/>
    <pivotTable tabId="7" name="PivotTable7"/>
    <pivotTable tabId="7" name="PivotTable8"/>
  </pivotTables>
  <data>
    <tabular pivotCacheId="14310777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xr10:uid="{453E7123-6B63-45F9-ADB4-0C9ADB71DCD6}" cache="Slicer_Department_Name" caption="Department Name" style="SlicerStyleLight3" rowHeight="241300"/>
  <slicer name="Years (Hire Date)" xr10:uid="{3579D428-EEE7-4908-A0CD-39702EA5791F}" cache="Slicer_Years__Hire_Date" caption="Years (Hire Date)" columnCount="2" style="SlicerStyleLight3" rowHeight="241300"/>
  <slicer name="Performance Band" xr10:uid="{DBEF383E-C2BD-42A9-93D8-4604C9279399}" cache="Slicer_Performance_Band" caption="Performance Band" style="SlicerStyleLight3" rowHeight="241300"/>
  <slicer name="Employment Status" xr10:uid="{525BA02F-1626-4919-8FA6-006731546A2C}" cache="Slicer_Employment_Status" caption="Employment Status" columnCount="2"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0771CC-F320-40D7-9B54-6F0F8258F951}" name="Table1" displayName="Table1" ref="P7:T13" totalsRowShown="0" headerRowDxfId="18">
  <autoFilter ref="P7:T13" xr:uid="{700771CC-F320-40D7-9B54-6F0F8258F951}"/>
  <tableColumns count="5">
    <tableColumn id="1" xr3:uid="{D6B37351-AFCD-44D3-A89E-AB4B4C891724}" name="SUMIF"/>
    <tableColumn id="2" xr3:uid="{7304891F-7709-4E47-8BD1-8BABBEDB9ED7}" name="COUNTIF"/>
    <tableColumn id="3" xr3:uid="{F6BF3CAA-57FD-4FD9-A273-AFE4C4C1E3D3}" name="MEAN" dataDxfId="17">
      <calculatedColumnFormula>P8/Q8</calculatedColumnFormula>
    </tableColumn>
    <tableColumn id="4" xr3:uid="{0B62CB9D-5DAC-4A99-BAAC-D6263303F3FE}" name="Department"/>
    <tableColumn id="6" xr3:uid="{20696D29-4E68-4B1C-B33D-D58CB03EB7CF}" name="Column1" dataDxfId="1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9A566C-A4BB-4950-9F6A-B309917E9B0D}" name="Table2" displayName="Table2" ref="P16:S22" totalsRowShown="0" headerRowDxfId="15">
  <autoFilter ref="P16:S22" xr:uid="{849A566C-A4BB-4950-9F6A-B309917E9B0D}"/>
  <tableColumns count="4">
    <tableColumn id="1" xr3:uid="{E0D25525-D138-4963-B28F-589D314DA497}" name="SUMIF"/>
    <tableColumn id="2" xr3:uid="{E6DBF907-B763-4800-BBA4-79C6D8029536}" name="COUNTIF"/>
    <tableColumn id="3" xr3:uid="{E8CF5AB9-D158-4E3E-B1DD-10D8F8426D1D}" name="MEAN" dataDxfId="14">
      <calculatedColumnFormula>P17/Q17</calculatedColumnFormula>
    </tableColumn>
    <tableColumn id="4" xr3:uid="{DECC6BDA-98CD-47AB-9449-35C6B31A62B9}" name="Depart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5F601-CED0-4125-BD00-71795357EA00}">
  <dimension ref="A1:H158"/>
  <sheetViews>
    <sheetView workbookViewId="0">
      <selection activeCell="E8" sqref="E8"/>
    </sheetView>
  </sheetViews>
  <sheetFormatPr defaultRowHeight="15" x14ac:dyDescent="0.25"/>
  <cols>
    <col min="1" max="1" width="7.85546875" bestFit="1" customWidth="1"/>
    <col min="2" max="2" width="11.140625" bestFit="1" customWidth="1"/>
    <col min="3" max="3" width="10.7109375" bestFit="1" customWidth="1"/>
    <col min="4" max="4" width="10.28515625" bestFit="1" customWidth="1"/>
    <col min="5" max="5" width="18.28515625" bestFit="1" customWidth="1"/>
    <col min="7" max="7" width="10.5703125" bestFit="1" customWidth="1"/>
    <col min="8" max="8" width="18.42578125" bestFit="1"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s="2">
        <v>43093</v>
      </c>
      <c r="F2">
        <v>50361</v>
      </c>
      <c r="G2">
        <v>52</v>
      </c>
      <c r="H2" t="s">
        <v>12</v>
      </c>
    </row>
    <row r="3" spans="1:8" x14ac:dyDescent="0.25">
      <c r="A3" t="s">
        <v>13</v>
      </c>
      <c r="B3" t="s">
        <v>14</v>
      </c>
      <c r="C3" t="s">
        <v>15</v>
      </c>
      <c r="D3" t="s">
        <v>16</v>
      </c>
      <c r="E3" s="2">
        <v>44659</v>
      </c>
      <c r="F3">
        <v>112673</v>
      </c>
      <c r="H3" t="s">
        <v>17</v>
      </c>
    </row>
    <row r="4" spans="1:8" x14ac:dyDescent="0.25">
      <c r="A4" t="s">
        <v>18</v>
      </c>
      <c r="B4" t="s">
        <v>9</v>
      </c>
      <c r="C4" t="s">
        <v>19</v>
      </c>
      <c r="D4" t="s">
        <v>20</v>
      </c>
      <c r="E4" s="2">
        <v>42431</v>
      </c>
      <c r="F4" t="s">
        <v>21</v>
      </c>
      <c r="G4">
        <v>54</v>
      </c>
      <c r="H4" t="s">
        <v>22</v>
      </c>
    </row>
    <row r="5" spans="1:8" x14ac:dyDescent="0.25">
      <c r="A5" t="s">
        <v>23</v>
      </c>
      <c r="B5" t="s">
        <v>24</v>
      </c>
      <c r="C5" t="s">
        <v>25</v>
      </c>
      <c r="D5" t="s">
        <v>26</v>
      </c>
      <c r="E5" s="2">
        <v>45110</v>
      </c>
      <c r="F5">
        <v>103831</v>
      </c>
      <c r="G5">
        <v>70</v>
      </c>
      <c r="H5" t="s">
        <v>12</v>
      </c>
    </row>
    <row r="6" spans="1:8" x14ac:dyDescent="0.25">
      <c r="A6" t="s">
        <v>27</v>
      </c>
      <c r="B6" t="s">
        <v>28</v>
      </c>
      <c r="C6" t="s">
        <v>29</v>
      </c>
      <c r="D6" t="s">
        <v>11</v>
      </c>
      <c r="E6" s="2">
        <v>44977</v>
      </c>
      <c r="F6">
        <v>73785</v>
      </c>
      <c r="G6">
        <v>40</v>
      </c>
      <c r="H6" t="s">
        <v>30</v>
      </c>
    </row>
    <row r="7" spans="1:8" x14ac:dyDescent="0.25">
      <c r="A7" t="s">
        <v>31</v>
      </c>
      <c r="B7" t="s">
        <v>9</v>
      </c>
      <c r="C7" t="s">
        <v>32</v>
      </c>
      <c r="D7" t="s">
        <v>33</v>
      </c>
      <c r="E7" t="s">
        <v>34</v>
      </c>
      <c r="F7">
        <v>115882</v>
      </c>
      <c r="G7">
        <v>49</v>
      </c>
      <c r="H7" t="s">
        <v>17</v>
      </c>
    </row>
    <row r="8" spans="1:8" x14ac:dyDescent="0.25">
      <c r="A8" t="s">
        <v>35</v>
      </c>
      <c r="B8" t="s">
        <v>24</v>
      </c>
      <c r="C8" t="s">
        <v>36</v>
      </c>
      <c r="D8" t="s">
        <v>37</v>
      </c>
      <c r="E8" s="2">
        <v>45272</v>
      </c>
      <c r="F8">
        <v>59980</v>
      </c>
      <c r="G8">
        <v>70</v>
      </c>
      <c r="H8" t="s">
        <v>30</v>
      </c>
    </row>
    <row r="9" spans="1:8" x14ac:dyDescent="0.25">
      <c r="A9" t="s">
        <v>38</v>
      </c>
      <c r="B9" t="s">
        <v>39</v>
      </c>
      <c r="C9" t="s">
        <v>29</v>
      </c>
      <c r="D9" t="s">
        <v>37</v>
      </c>
      <c r="E9" s="2">
        <v>44174</v>
      </c>
      <c r="F9">
        <v>68728</v>
      </c>
      <c r="G9">
        <v>45</v>
      </c>
      <c r="H9" t="s">
        <v>17</v>
      </c>
    </row>
    <row r="10" spans="1:8" x14ac:dyDescent="0.25">
      <c r="A10" t="s">
        <v>40</v>
      </c>
      <c r="C10" t="s">
        <v>41</v>
      </c>
      <c r="D10" t="s">
        <v>26</v>
      </c>
      <c r="E10" s="2">
        <v>43107</v>
      </c>
      <c r="F10">
        <v>102139</v>
      </c>
      <c r="G10">
        <v>79</v>
      </c>
      <c r="H10" t="s">
        <v>12</v>
      </c>
    </row>
    <row r="11" spans="1:8" x14ac:dyDescent="0.25">
      <c r="A11" t="s">
        <v>42</v>
      </c>
      <c r="B11" t="s">
        <v>43</v>
      </c>
      <c r="C11" t="s">
        <v>25</v>
      </c>
      <c r="D11" t="s">
        <v>44</v>
      </c>
      <c r="E11" s="2">
        <v>42676</v>
      </c>
      <c r="F11">
        <v>94998</v>
      </c>
      <c r="G11">
        <v>58</v>
      </c>
      <c r="H11" t="s">
        <v>45</v>
      </c>
    </row>
    <row r="12" spans="1:8" x14ac:dyDescent="0.25">
      <c r="A12" t="s">
        <v>46</v>
      </c>
      <c r="B12" t="s">
        <v>9</v>
      </c>
      <c r="C12" t="s">
        <v>47</v>
      </c>
      <c r="D12" t="s">
        <v>48</v>
      </c>
      <c r="E12" s="2">
        <v>43911</v>
      </c>
      <c r="F12" t="s">
        <v>49</v>
      </c>
      <c r="G12">
        <v>49</v>
      </c>
      <c r="H12" t="s">
        <v>45</v>
      </c>
    </row>
    <row r="13" spans="1:8" x14ac:dyDescent="0.25">
      <c r="A13" t="s">
        <v>50</v>
      </c>
      <c r="B13" t="s">
        <v>9</v>
      </c>
      <c r="C13" t="s">
        <v>15</v>
      </c>
      <c r="D13" t="s">
        <v>11</v>
      </c>
      <c r="E13" s="2">
        <v>42425</v>
      </c>
      <c r="F13">
        <v>76918</v>
      </c>
      <c r="G13">
        <v>62</v>
      </c>
      <c r="H13" t="s">
        <v>51</v>
      </c>
    </row>
    <row r="14" spans="1:8" x14ac:dyDescent="0.25">
      <c r="A14" t="s">
        <v>52</v>
      </c>
      <c r="B14" t="s">
        <v>53</v>
      </c>
      <c r="C14" t="s">
        <v>54</v>
      </c>
      <c r="D14" t="s">
        <v>55</v>
      </c>
      <c r="E14" t="s">
        <v>56</v>
      </c>
      <c r="F14">
        <v>61408</v>
      </c>
      <c r="G14">
        <v>48</v>
      </c>
      <c r="H14" t="s">
        <v>17</v>
      </c>
    </row>
    <row r="15" spans="1:8" x14ac:dyDescent="0.25">
      <c r="A15" t="s">
        <v>57</v>
      </c>
      <c r="B15" t="s">
        <v>53</v>
      </c>
      <c r="C15" t="s">
        <v>47</v>
      </c>
      <c r="D15" t="s">
        <v>16</v>
      </c>
      <c r="E15" s="2">
        <v>44001</v>
      </c>
      <c r="F15">
        <v>99990</v>
      </c>
      <c r="G15">
        <v>54</v>
      </c>
      <c r="H15" t="s">
        <v>51</v>
      </c>
    </row>
    <row r="16" spans="1:8" x14ac:dyDescent="0.25">
      <c r="A16" t="s">
        <v>58</v>
      </c>
      <c r="B16" t="s">
        <v>59</v>
      </c>
      <c r="C16" t="s">
        <v>60</v>
      </c>
      <c r="D16" t="s">
        <v>61</v>
      </c>
      <c r="E16" s="2">
        <v>43820</v>
      </c>
      <c r="F16">
        <v>80385</v>
      </c>
      <c r="H16" t="s">
        <v>12</v>
      </c>
    </row>
    <row r="17" spans="1:8" x14ac:dyDescent="0.25">
      <c r="A17" t="s">
        <v>62</v>
      </c>
      <c r="B17" t="s">
        <v>28</v>
      </c>
      <c r="C17" t="s">
        <v>41</v>
      </c>
      <c r="D17" t="s">
        <v>44</v>
      </c>
      <c r="E17" s="2">
        <v>45169</v>
      </c>
      <c r="F17">
        <v>65290</v>
      </c>
      <c r="G17">
        <v>77</v>
      </c>
      <c r="H17" t="s">
        <v>12</v>
      </c>
    </row>
    <row r="18" spans="1:8" x14ac:dyDescent="0.25">
      <c r="A18" t="s">
        <v>63</v>
      </c>
      <c r="B18" t="s">
        <v>9</v>
      </c>
      <c r="C18" t="s">
        <v>64</v>
      </c>
      <c r="D18" t="s">
        <v>11</v>
      </c>
      <c r="E18" s="2">
        <v>42337</v>
      </c>
      <c r="F18">
        <v>105765</v>
      </c>
      <c r="G18">
        <v>42</v>
      </c>
      <c r="H18" t="s">
        <v>45</v>
      </c>
    </row>
    <row r="19" spans="1:8" x14ac:dyDescent="0.25">
      <c r="A19" t="s">
        <v>65</v>
      </c>
      <c r="B19" t="s">
        <v>66</v>
      </c>
      <c r="C19" t="s">
        <v>25</v>
      </c>
      <c r="D19" t="s">
        <v>44</v>
      </c>
      <c r="E19" s="2">
        <v>42899</v>
      </c>
      <c r="F19">
        <v>102921</v>
      </c>
      <c r="G19">
        <v>49</v>
      </c>
      <c r="H19" t="s">
        <v>17</v>
      </c>
    </row>
    <row r="20" spans="1:8" x14ac:dyDescent="0.25">
      <c r="A20" t="s">
        <v>50</v>
      </c>
      <c r="B20" t="s">
        <v>9</v>
      </c>
      <c r="C20" t="s">
        <v>15</v>
      </c>
      <c r="D20" t="s">
        <v>11</v>
      </c>
      <c r="E20" s="2">
        <v>42425</v>
      </c>
      <c r="F20">
        <v>76918</v>
      </c>
      <c r="G20">
        <v>62</v>
      </c>
      <c r="H20" t="s">
        <v>51</v>
      </c>
    </row>
    <row r="21" spans="1:8" x14ac:dyDescent="0.25">
      <c r="A21" t="s">
        <v>67</v>
      </c>
      <c r="B21" t="s">
        <v>68</v>
      </c>
      <c r="C21" t="s">
        <v>69</v>
      </c>
      <c r="D21" t="s">
        <v>16</v>
      </c>
      <c r="E21" s="2">
        <v>43235</v>
      </c>
      <c r="F21">
        <v>73984</v>
      </c>
      <c r="G21">
        <v>93</v>
      </c>
      <c r="H21" t="s">
        <v>51</v>
      </c>
    </row>
    <row r="22" spans="1:8" x14ac:dyDescent="0.25">
      <c r="A22" t="s">
        <v>70</v>
      </c>
      <c r="B22" t="s">
        <v>71</v>
      </c>
      <c r="C22" t="s">
        <v>19</v>
      </c>
      <c r="D22" t="s">
        <v>11</v>
      </c>
      <c r="E22" s="2">
        <v>42575</v>
      </c>
      <c r="G22">
        <v>75</v>
      </c>
      <c r="H22" t="s">
        <v>51</v>
      </c>
    </row>
    <row r="23" spans="1:8" x14ac:dyDescent="0.25">
      <c r="A23" t="s">
        <v>72</v>
      </c>
      <c r="B23" t="s">
        <v>43</v>
      </c>
      <c r="C23" t="s">
        <v>15</v>
      </c>
      <c r="D23" t="s">
        <v>26</v>
      </c>
      <c r="E23" s="2">
        <v>43076</v>
      </c>
      <c r="F23">
        <v>118527</v>
      </c>
      <c r="G23">
        <v>50</v>
      </c>
      <c r="H23" t="s">
        <v>51</v>
      </c>
    </row>
    <row r="24" spans="1:8" x14ac:dyDescent="0.25">
      <c r="A24" t="s">
        <v>73</v>
      </c>
      <c r="B24" t="s">
        <v>14</v>
      </c>
      <c r="C24" t="s">
        <v>15</v>
      </c>
      <c r="D24" t="s">
        <v>16</v>
      </c>
      <c r="E24" s="2">
        <v>44353</v>
      </c>
      <c r="F24">
        <v>107871</v>
      </c>
      <c r="G24">
        <v>88</v>
      </c>
      <c r="H24" t="s">
        <v>12</v>
      </c>
    </row>
    <row r="25" spans="1:8" x14ac:dyDescent="0.25">
      <c r="A25" t="s">
        <v>74</v>
      </c>
      <c r="B25" t="s">
        <v>43</v>
      </c>
      <c r="C25" t="s">
        <v>41</v>
      </c>
      <c r="D25" t="s">
        <v>20</v>
      </c>
      <c r="E25" s="2">
        <v>44815</v>
      </c>
      <c r="F25">
        <v>93956</v>
      </c>
      <c r="G25">
        <v>50</v>
      </c>
      <c r="H25" t="s">
        <v>22</v>
      </c>
    </row>
    <row r="26" spans="1:8" x14ac:dyDescent="0.25">
      <c r="A26" t="s">
        <v>75</v>
      </c>
      <c r="B26" t="s">
        <v>39</v>
      </c>
      <c r="C26" t="s">
        <v>32</v>
      </c>
      <c r="D26" t="s">
        <v>76</v>
      </c>
      <c r="E26" s="2">
        <v>42565</v>
      </c>
      <c r="F26">
        <v>100851</v>
      </c>
      <c r="G26">
        <v>64</v>
      </c>
      <c r="H26" t="s">
        <v>17</v>
      </c>
    </row>
    <row r="27" spans="1:8" x14ac:dyDescent="0.25">
      <c r="A27" t="s">
        <v>77</v>
      </c>
      <c r="B27" t="s">
        <v>68</v>
      </c>
      <c r="C27" t="s">
        <v>54</v>
      </c>
      <c r="D27" t="s">
        <v>44</v>
      </c>
      <c r="E27" s="2">
        <v>44728</v>
      </c>
      <c r="F27">
        <v>68655</v>
      </c>
      <c r="G27">
        <v>32</v>
      </c>
      <c r="H27" t="s">
        <v>12</v>
      </c>
    </row>
    <row r="28" spans="1:8" x14ac:dyDescent="0.25">
      <c r="A28" t="s">
        <v>78</v>
      </c>
      <c r="C28" t="s">
        <v>54</v>
      </c>
      <c r="D28" t="s">
        <v>79</v>
      </c>
      <c r="E28" s="2">
        <v>45134</v>
      </c>
      <c r="F28">
        <v>81205</v>
      </c>
      <c r="G28">
        <v>59</v>
      </c>
      <c r="H28" t="s">
        <v>51</v>
      </c>
    </row>
    <row r="29" spans="1:8" x14ac:dyDescent="0.25">
      <c r="A29" t="s">
        <v>80</v>
      </c>
      <c r="B29" t="s">
        <v>24</v>
      </c>
      <c r="C29" t="s">
        <v>36</v>
      </c>
      <c r="D29" t="s">
        <v>44</v>
      </c>
      <c r="E29" t="s">
        <v>81</v>
      </c>
      <c r="F29" t="s">
        <v>82</v>
      </c>
      <c r="G29">
        <v>88</v>
      </c>
      <c r="H29" t="s">
        <v>51</v>
      </c>
    </row>
    <row r="30" spans="1:8" x14ac:dyDescent="0.25">
      <c r="A30" t="s">
        <v>83</v>
      </c>
      <c r="B30" t="s">
        <v>28</v>
      </c>
      <c r="C30" t="s">
        <v>41</v>
      </c>
      <c r="D30" t="s">
        <v>84</v>
      </c>
      <c r="E30" s="2">
        <v>44765</v>
      </c>
      <c r="F30" t="s">
        <v>85</v>
      </c>
      <c r="G30">
        <v>90</v>
      </c>
      <c r="H30" t="s">
        <v>45</v>
      </c>
    </row>
    <row r="31" spans="1:8" x14ac:dyDescent="0.25">
      <c r="A31" t="s">
        <v>86</v>
      </c>
      <c r="B31" t="s">
        <v>43</v>
      </c>
      <c r="C31" t="s">
        <v>36</v>
      </c>
      <c r="D31" t="s">
        <v>87</v>
      </c>
      <c r="E31" t="s">
        <v>88</v>
      </c>
      <c r="F31">
        <v>85312</v>
      </c>
      <c r="G31">
        <v>66</v>
      </c>
      <c r="H31" t="s">
        <v>12</v>
      </c>
    </row>
    <row r="32" spans="1:8" x14ac:dyDescent="0.25">
      <c r="A32" t="s">
        <v>89</v>
      </c>
      <c r="B32" t="s">
        <v>24</v>
      </c>
      <c r="C32" t="s">
        <v>41</v>
      </c>
      <c r="D32" t="s">
        <v>44</v>
      </c>
      <c r="E32" s="2">
        <v>42202</v>
      </c>
      <c r="G32">
        <v>68</v>
      </c>
      <c r="H32" t="s">
        <v>12</v>
      </c>
    </row>
    <row r="33" spans="1:8" x14ac:dyDescent="0.25">
      <c r="A33" t="s">
        <v>90</v>
      </c>
      <c r="B33" t="s">
        <v>28</v>
      </c>
      <c r="C33" t="s">
        <v>15</v>
      </c>
      <c r="D33" t="s">
        <v>33</v>
      </c>
      <c r="E33" t="s">
        <v>91</v>
      </c>
      <c r="F33">
        <v>97055</v>
      </c>
      <c r="G33">
        <v>80</v>
      </c>
      <c r="H33" t="s">
        <v>51</v>
      </c>
    </row>
    <row r="34" spans="1:8" x14ac:dyDescent="0.25">
      <c r="A34" t="s">
        <v>92</v>
      </c>
      <c r="B34" t="s">
        <v>43</v>
      </c>
      <c r="C34" t="s">
        <v>32</v>
      </c>
      <c r="D34" t="s">
        <v>11</v>
      </c>
      <c r="E34" s="2">
        <v>45195</v>
      </c>
      <c r="F34">
        <v>66069</v>
      </c>
      <c r="G34">
        <v>72</v>
      </c>
      <c r="H34" t="s">
        <v>51</v>
      </c>
    </row>
    <row r="35" spans="1:8" x14ac:dyDescent="0.25">
      <c r="A35" t="s">
        <v>93</v>
      </c>
      <c r="B35" t="s">
        <v>94</v>
      </c>
      <c r="C35" t="s">
        <v>10</v>
      </c>
      <c r="D35" t="s">
        <v>84</v>
      </c>
      <c r="E35" t="s">
        <v>95</v>
      </c>
      <c r="F35">
        <v>90157</v>
      </c>
      <c r="G35">
        <v>58</v>
      </c>
      <c r="H35" t="s">
        <v>12</v>
      </c>
    </row>
    <row r="36" spans="1:8" x14ac:dyDescent="0.25">
      <c r="A36" t="s">
        <v>96</v>
      </c>
      <c r="B36" t="s">
        <v>53</v>
      </c>
      <c r="C36" t="s">
        <v>25</v>
      </c>
      <c r="D36" t="s">
        <v>97</v>
      </c>
      <c r="E36" s="2">
        <v>44578</v>
      </c>
      <c r="F36">
        <v>59899</v>
      </c>
      <c r="G36">
        <v>78</v>
      </c>
      <c r="H36" t="s">
        <v>51</v>
      </c>
    </row>
    <row r="37" spans="1:8" x14ac:dyDescent="0.25">
      <c r="A37" t="s">
        <v>98</v>
      </c>
      <c r="B37" t="s">
        <v>9</v>
      </c>
      <c r="C37" t="s">
        <v>60</v>
      </c>
      <c r="D37" t="s">
        <v>76</v>
      </c>
      <c r="E37" t="s">
        <v>99</v>
      </c>
      <c r="F37">
        <v>113389</v>
      </c>
      <c r="G37">
        <v>30</v>
      </c>
      <c r="H37" t="s">
        <v>17</v>
      </c>
    </row>
    <row r="38" spans="1:8" x14ac:dyDescent="0.25">
      <c r="A38" t="s">
        <v>100</v>
      </c>
      <c r="C38" t="s">
        <v>10</v>
      </c>
      <c r="D38" t="s">
        <v>20</v>
      </c>
      <c r="E38" t="s">
        <v>101</v>
      </c>
      <c r="F38">
        <v>102691</v>
      </c>
      <c r="G38">
        <v>52</v>
      </c>
      <c r="H38" t="s">
        <v>45</v>
      </c>
    </row>
    <row r="39" spans="1:8" x14ac:dyDescent="0.25">
      <c r="A39" t="s">
        <v>102</v>
      </c>
      <c r="B39" t="s">
        <v>24</v>
      </c>
      <c r="C39" t="s">
        <v>36</v>
      </c>
      <c r="D39" t="s">
        <v>33</v>
      </c>
      <c r="E39" t="s">
        <v>103</v>
      </c>
      <c r="F39">
        <v>111845</v>
      </c>
      <c r="G39">
        <v>98</v>
      </c>
      <c r="H39" t="s">
        <v>12</v>
      </c>
    </row>
    <row r="40" spans="1:8" x14ac:dyDescent="0.25">
      <c r="A40" t="s">
        <v>104</v>
      </c>
      <c r="B40" t="s">
        <v>105</v>
      </c>
      <c r="C40" t="s">
        <v>10</v>
      </c>
      <c r="D40" t="s">
        <v>79</v>
      </c>
      <c r="E40" t="s">
        <v>106</v>
      </c>
      <c r="F40">
        <v>69219</v>
      </c>
      <c r="G40">
        <v>93</v>
      </c>
      <c r="H40" t="s">
        <v>51</v>
      </c>
    </row>
    <row r="41" spans="1:8" x14ac:dyDescent="0.25">
      <c r="A41" t="s">
        <v>107</v>
      </c>
      <c r="B41" t="s">
        <v>43</v>
      </c>
      <c r="C41" t="s">
        <v>29</v>
      </c>
      <c r="D41" t="s">
        <v>26</v>
      </c>
      <c r="E41" s="2">
        <v>43949</v>
      </c>
      <c r="G41">
        <v>80</v>
      </c>
      <c r="H41" t="s">
        <v>108</v>
      </c>
    </row>
    <row r="42" spans="1:8" x14ac:dyDescent="0.25">
      <c r="A42" t="s">
        <v>109</v>
      </c>
      <c r="B42" t="s">
        <v>94</v>
      </c>
      <c r="C42" t="s">
        <v>47</v>
      </c>
      <c r="D42" t="s">
        <v>33</v>
      </c>
      <c r="E42" t="s">
        <v>110</v>
      </c>
      <c r="F42">
        <v>57514</v>
      </c>
      <c r="H42" t="s">
        <v>12</v>
      </c>
    </row>
    <row r="43" spans="1:8" x14ac:dyDescent="0.25">
      <c r="A43" t="s">
        <v>111</v>
      </c>
      <c r="B43" t="s">
        <v>9</v>
      </c>
      <c r="C43" t="s">
        <v>36</v>
      </c>
      <c r="D43" t="s">
        <v>44</v>
      </c>
      <c r="E43" s="2">
        <v>43181</v>
      </c>
      <c r="F43">
        <v>86245</v>
      </c>
      <c r="G43">
        <v>71</v>
      </c>
      <c r="H43" t="s">
        <v>22</v>
      </c>
    </row>
    <row r="44" spans="1:8" x14ac:dyDescent="0.25">
      <c r="A44" t="s">
        <v>112</v>
      </c>
      <c r="B44" t="s">
        <v>113</v>
      </c>
      <c r="C44" t="s">
        <v>15</v>
      </c>
      <c r="D44" t="s">
        <v>44</v>
      </c>
      <c r="E44" s="2">
        <v>43958</v>
      </c>
      <c r="F44">
        <v>52407</v>
      </c>
      <c r="G44">
        <v>55</v>
      </c>
      <c r="H44" t="s">
        <v>12</v>
      </c>
    </row>
    <row r="45" spans="1:8" x14ac:dyDescent="0.25">
      <c r="A45" t="s">
        <v>114</v>
      </c>
      <c r="B45" t="s">
        <v>66</v>
      </c>
      <c r="C45" t="s">
        <v>29</v>
      </c>
      <c r="D45" t="s">
        <v>37</v>
      </c>
      <c r="E45" s="2">
        <v>43549</v>
      </c>
      <c r="F45" t="s">
        <v>115</v>
      </c>
      <c r="G45">
        <v>93</v>
      </c>
      <c r="H45" t="s">
        <v>116</v>
      </c>
    </row>
    <row r="46" spans="1:8" x14ac:dyDescent="0.25">
      <c r="A46" t="s">
        <v>117</v>
      </c>
      <c r="B46" t="s">
        <v>94</v>
      </c>
      <c r="C46" t="s">
        <v>54</v>
      </c>
      <c r="D46" t="s">
        <v>11</v>
      </c>
      <c r="E46" s="2">
        <v>43686</v>
      </c>
      <c r="F46">
        <v>81896</v>
      </c>
      <c r="G46">
        <v>79</v>
      </c>
      <c r="H46" t="s">
        <v>116</v>
      </c>
    </row>
    <row r="47" spans="1:8" x14ac:dyDescent="0.25">
      <c r="A47" t="s">
        <v>118</v>
      </c>
      <c r="B47" t="s">
        <v>71</v>
      </c>
      <c r="C47" t="s">
        <v>69</v>
      </c>
      <c r="D47" t="s">
        <v>44</v>
      </c>
      <c r="E47" t="s">
        <v>119</v>
      </c>
      <c r="F47">
        <v>78402</v>
      </c>
      <c r="G47">
        <v>54</v>
      </c>
      <c r="H47" t="s">
        <v>17</v>
      </c>
    </row>
    <row r="48" spans="1:8" x14ac:dyDescent="0.25">
      <c r="A48" t="s">
        <v>120</v>
      </c>
      <c r="B48" t="s">
        <v>28</v>
      </c>
      <c r="C48" t="s">
        <v>69</v>
      </c>
      <c r="D48" t="s">
        <v>37</v>
      </c>
      <c r="E48" s="2">
        <v>42647</v>
      </c>
      <c r="F48">
        <v>105498</v>
      </c>
      <c r="G48">
        <v>76</v>
      </c>
      <c r="H48" t="s">
        <v>12</v>
      </c>
    </row>
    <row r="49" spans="1:8" x14ac:dyDescent="0.25">
      <c r="A49" t="s">
        <v>121</v>
      </c>
      <c r="B49" t="s">
        <v>105</v>
      </c>
      <c r="C49" t="s">
        <v>32</v>
      </c>
      <c r="D49" t="s">
        <v>16</v>
      </c>
      <c r="E49" t="s">
        <v>122</v>
      </c>
      <c r="F49">
        <v>91749</v>
      </c>
      <c r="G49">
        <v>72</v>
      </c>
      <c r="H49" t="s">
        <v>108</v>
      </c>
    </row>
    <row r="50" spans="1:8" x14ac:dyDescent="0.25">
      <c r="A50" t="s">
        <v>123</v>
      </c>
      <c r="B50" t="s">
        <v>71</v>
      </c>
      <c r="C50" t="s">
        <v>32</v>
      </c>
      <c r="D50" t="s">
        <v>37</v>
      </c>
      <c r="E50" s="2">
        <v>44437</v>
      </c>
      <c r="F50">
        <v>99935</v>
      </c>
      <c r="G50">
        <v>84</v>
      </c>
      <c r="H50" t="s">
        <v>116</v>
      </c>
    </row>
    <row r="51" spans="1:8" x14ac:dyDescent="0.25">
      <c r="A51" t="s">
        <v>124</v>
      </c>
      <c r="B51" t="s">
        <v>24</v>
      </c>
      <c r="C51" t="s">
        <v>64</v>
      </c>
      <c r="D51" t="s">
        <v>20</v>
      </c>
      <c r="E51" s="2">
        <v>42761</v>
      </c>
      <c r="F51">
        <v>83531</v>
      </c>
      <c r="G51">
        <v>30</v>
      </c>
      <c r="H51" t="s">
        <v>108</v>
      </c>
    </row>
    <row r="52" spans="1:8" x14ac:dyDescent="0.25">
      <c r="A52" t="s">
        <v>125</v>
      </c>
      <c r="B52" t="s">
        <v>66</v>
      </c>
      <c r="C52" t="s">
        <v>32</v>
      </c>
      <c r="D52" t="s">
        <v>55</v>
      </c>
      <c r="E52" s="2">
        <v>43981</v>
      </c>
      <c r="F52" t="s">
        <v>126</v>
      </c>
      <c r="H52" t="s">
        <v>17</v>
      </c>
    </row>
    <row r="53" spans="1:8" x14ac:dyDescent="0.25">
      <c r="A53" t="s">
        <v>127</v>
      </c>
      <c r="B53" t="s">
        <v>53</v>
      </c>
      <c r="C53" t="s">
        <v>64</v>
      </c>
      <c r="D53" t="s">
        <v>97</v>
      </c>
      <c r="E53" s="2">
        <v>44612</v>
      </c>
      <c r="F53">
        <v>93290</v>
      </c>
      <c r="G53">
        <v>53</v>
      </c>
      <c r="H53" t="s">
        <v>17</v>
      </c>
    </row>
    <row r="54" spans="1:8" x14ac:dyDescent="0.25">
      <c r="A54" t="s">
        <v>128</v>
      </c>
      <c r="B54" t="s">
        <v>14</v>
      </c>
      <c r="C54" t="s">
        <v>64</v>
      </c>
      <c r="D54" t="s">
        <v>33</v>
      </c>
      <c r="E54" s="2">
        <v>42628</v>
      </c>
      <c r="F54">
        <v>115527</v>
      </c>
      <c r="G54">
        <v>63</v>
      </c>
      <c r="H54" t="s">
        <v>116</v>
      </c>
    </row>
    <row r="55" spans="1:8" x14ac:dyDescent="0.25">
      <c r="A55" t="s">
        <v>129</v>
      </c>
      <c r="B55" t="s">
        <v>28</v>
      </c>
      <c r="C55" t="s">
        <v>41</v>
      </c>
      <c r="D55" t="s">
        <v>76</v>
      </c>
      <c r="E55" t="s">
        <v>130</v>
      </c>
      <c r="F55">
        <v>55920</v>
      </c>
      <c r="G55">
        <v>84</v>
      </c>
      <c r="H55" t="s">
        <v>51</v>
      </c>
    </row>
    <row r="56" spans="1:8" x14ac:dyDescent="0.25">
      <c r="A56" t="s">
        <v>131</v>
      </c>
      <c r="B56" t="s">
        <v>9</v>
      </c>
      <c r="C56" t="s">
        <v>32</v>
      </c>
      <c r="D56" t="s">
        <v>44</v>
      </c>
      <c r="E56" s="2">
        <v>43464</v>
      </c>
      <c r="F56">
        <v>80189</v>
      </c>
      <c r="G56">
        <v>30</v>
      </c>
      <c r="H56" t="s">
        <v>45</v>
      </c>
    </row>
    <row r="57" spans="1:8" x14ac:dyDescent="0.25">
      <c r="A57" t="s">
        <v>132</v>
      </c>
      <c r="B57" t="s">
        <v>9</v>
      </c>
      <c r="C57" t="s">
        <v>133</v>
      </c>
      <c r="D57" t="s">
        <v>97</v>
      </c>
      <c r="E57" s="2">
        <v>44189</v>
      </c>
      <c r="F57">
        <v>118947</v>
      </c>
      <c r="G57">
        <v>96</v>
      </c>
      <c r="H57" t="s">
        <v>12</v>
      </c>
    </row>
    <row r="58" spans="1:8" x14ac:dyDescent="0.25">
      <c r="A58" t="s">
        <v>134</v>
      </c>
      <c r="B58" t="s">
        <v>53</v>
      </c>
      <c r="C58" t="s">
        <v>135</v>
      </c>
      <c r="D58" t="s">
        <v>11</v>
      </c>
      <c r="E58" s="2">
        <v>45112</v>
      </c>
      <c r="G58">
        <v>54</v>
      </c>
      <c r="H58" t="s">
        <v>51</v>
      </c>
    </row>
    <row r="59" spans="1:8" x14ac:dyDescent="0.25">
      <c r="A59" t="s">
        <v>136</v>
      </c>
      <c r="B59" t="s">
        <v>28</v>
      </c>
      <c r="C59" t="s">
        <v>133</v>
      </c>
      <c r="D59" t="s">
        <v>37</v>
      </c>
      <c r="E59" s="2">
        <v>44148</v>
      </c>
      <c r="G59">
        <v>75</v>
      </c>
      <c r="H59" t="s">
        <v>51</v>
      </c>
    </row>
    <row r="60" spans="1:8" x14ac:dyDescent="0.25">
      <c r="A60" t="s">
        <v>137</v>
      </c>
      <c r="B60" t="s">
        <v>113</v>
      </c>
      <c r="C60" t="s">
        <v>25</v>
      </c>
      <c r="D60" t="s">
        <v>138</v>
      </c>
      <c r="E60" t="s">
        <v>139</v>
      </c>
      <c r="F60">
        <v>91655</v>
      </c>
      <c r="G60">
        <v>95</v>
      </c>
      <c r="H60" t="s">
        <v>45</v>
      </c>
    </row>
    <row r="61" spans="1:8" x14ac:dyDescent="0.25">
      <c r="A61" t="s">
        <v>140</v>
      </c>
      <c r="B61" t="s">
        <v>9</v>
      </c>
      <c r="C61" t="s">
        <v>10</v>
      </c>
      <c r="D61" t="s">
        <v>11</v>
      </c>
      <c r="E61" s="2">
        <v>45255</v>
      </c>
      <c r="F61">
        <v>49435</v>
      </c>
      <c r="H61" t="s">
        <v>108</v>
      </c>
    </row>
    <row r="62" spans="1:8" x14ac:dyDescent="0.25">
      <c r="A62" t="s">
        <v>141</v>
      </c>
      <c r="B62" t="s">
        <v>9</v>
      </c>
      <c r="C62" t="s">
        <v>36</v>
      </c>
      <c r="D62" t="s">
        <v>48</v>
      </c>
      <c r="E62" s="2">
        <v>45217</v>
      </c>
      <c r="F62">
        <v>110381</v>
      </c>
      <c r="G62">
        <v>93</v>
      </c>
      <c r="H62" t="s">
        <v>45</v>
      </c>
    </row>
    <row r="63" spans="1:8" x14ac:dyDescent="0.25">
      <c r="A63" t="s">
        <v>142</v>
      </c>
      <c r="B63" t="s">
        <v>43</v>
      </c>
      <c r="C63" t="s">
        <v>135</v>
      </c>
      <c r="D63" t="s">
        <v>97</v>
      </c>
      <c r="E63" s="2">
        <v>44079</v>
      </c>
      <c r="F63">
        <v>114748</v>
      </c>
      <c r="G63">
        <v>33</v>
      </c>
      <c r="H63" t="s">
        <v>12</v>
      </c>
    </row>
    <row r="64" spans="1:8" x14ac:dyDescent="0.25">
      <c r="A64" t="s">
        <v>143</v>
      </c>
      <c r="B64" t="s">
        <v>59</v>
      </c>
      <c r="C64" t="s">
        <v>32</v>
      </c>
      <c r="D64" t="s">
        <v>33</v>
      </c>
      <c r="E64" s="2">
        <v>42800</v>
      </c>
      <c r="F64">
        <v>63302</v>
      </c>
      <c r="G64">
        <v>91</v>
      </c>
      <c r="H64" t="s">
        <v>12</v>
      </c>
    </row>
    <row r="65" spans="1:8" x14ac:dyDescent="0.25">
      <c r="A65" t="s">
        <v>144</v>
      </c>
      <c r="B65" t="s">
        <v>59</v>
      </c>
      <c r="C65" t="s">
        <v>47</v>
      </c>
      <c r="D65" t="s">
        <v>84</v>
      </c>
      <c r="E65" s="2">
        <v>42122</v>
      </c>
      <c r="F65" t="s">
        <v>145</v>
      </c>
      <c r="G65">
        <v>64</v>
      </c>
      <c r="H65" t="s">
        <v>12</v>
      </c>
    </row>
    <row r="66" spans="1:8" x14ac:dyDescent="0.25">
      <c r="A66" t="s">
        <v>146</v>
      </c>
      <c r="B66" t="s">
        <v>53</v>
      </c>
      <c r="C66" t="s">
        <v>64</v>
      </c>
      <c r="D66" t="s">
        <v>76</v>
      </c>
      <c r="E66" s="2">
        <v>42838</v>
      </c>
      <c r="F66">
        <v>103891</v>
      </c>
      <c r="G66">
        <v>80</v>
      </c>
      <c r="H66" t="s">
        <v>12</v>
      </c>
    </row>
    <row r="67" spans="1:8" x14ac:dyDescent="0.25">
      <c r="A67" t="s">
        <v>147</v>
      </c>
      <c r="B67" t="s">
        <v>28</v>
      </c>
      <c r="C67" t="s">
        <v>64</v>
      </c>
      <c r="D67" t="s">
        <v>33</v>
      </c>
      <c r="E67" s="2">
        <v>44827</v>
      </c>
      <c r="G67">
        <v>46</v>
      </c>
      <c r="H67" t="s">
        <v>22</v>
      </c>
    </row>
    <row r="68" spans="1:8" x14ac:dyDescent="0.25">
      <c r="A68" t="s">
        <v>148</v>
      </c>
      <c r="B68" t="s">
        <v>28</v>
      </c>
      <c r="C68" t="s">
        <v>60</v>
      </c>
      <c r="D68" t="s">
        <v>61</v>
      </c>
      <c r="E68" t="s">
        <v>149</v>
      </c>
      <c r="F68" t="s">
        <v>150</v>
      </c>
      <c r="G68">
        <v>99</v>
      </c>
      <c r="H68" t="s">
        <v>12</v>
      </c>
    </row>
    <row r="69" spans="1:8" x14ac:dyDescent="0.25">
      <c r="A69" t="s">
        <v>151</v>
      </c>
      <c r="B69" t="s">
        <v>43</v>
      </c>
      <c r="C69" t="s">
        <v>47</v>
      </c>
      <c r="D69" t="s">
        <v>79</v>
      </c>
      <c r="E69" t="s">
        <v>152</v>
      </c>
      <c r="F69" t="s">
        <v>153</v>
      </c>
      <c r="H69" t="s">
        <v>51</v>
      </c>
    </row>
    <row r="70" spans="1:8" x14ac:dyDescent="0.25">
      <c r="A70" t="s">
        <v>154</v>
      </c>
      <c r="B70" t="s">
        <v>14</v>
      </c>
      <c r="C70" t="s">
        <v>19</v>
      </c>
      <c r="D70" t="s">
        <v>97</v>
      </c>
      <c r="E70" t="s">
        <v>155</v>
      </c>
      <c r="F70">
        <v>51567</v>
      </c>
      <c r="G70">
        <v>87</v>
      </c>
      <c r="H70" t="s">
        <v>116</v>
      </c>
    </row>
    <row r="71" spans="1:8" x14ac:dyDescent="0.25">
      <c r="A71" t="s">
        <v>156</v>
      </c>
      <c r="B71" t="s">
        <v>105</v>
      </c>
      <c r="C71" t="s">
        <v>54</v>
      </c>
      <c r="D71" t="s">
        <v>157</v>
      </c>
      <c r="E71" s="2">
        <v>44402</v>
      </c>
      <c r="G71">
        <v>36</v>
      </c>
      <c r="H71" t="s">
        <v>45</v>
      </c>
    </row>
    <row r="72" spans="1:8" x14ac:dyDescent="0.25">
      <c r="A72" t="s">
        <v>158</v>
      </c>
      <c r="B72" t="s">
        <v>59</v>
      </c>
      <c r="C72" t="s">
        <v>47</v>
      </c>
      <c r="D72" t="s">
        <v>97</v>
      </c>
      <c r="E72" s="2">
        <v>43008</v>
      </c>
      <c r="F72">
        <v>55270</v>
      </c>
      <c r="G72">
        <v>87</v>
      </c>
      <c r="H72" t="s">
        <v>51</v>
      </c>
    </row>
    <row r="73" spans="1:8" x14ac:dyDescent="0.25">
      <c r="A73" t="s">
        <v>159</v>
      </c>
      <c r="B73" t="s">
        <v>160</v>
      </c>
      <c r="C73" t="s">
        <v>133</v>
      </c>
      <c r="D73" t="s">
        <v>44</v>
      </c>
      <c r="E73" s="2">
        <v>42192</v>
      </c>
      <c r="F73">
        <v>65235</v>
      </c>
      <c r="G73">
        <v>97</v>
      </c>
      <c r="H73" t="s">
        <v>17</v>
      </c>
    </row>
    <row r="74" spans="1:8" x14ac:dyDescent="0.25">
      <c r="A74" t="s">
        <v>161</v>
      </c>
      <c r="B74" t="s">
        <v>24</v>
      </c>
      <c r="C74" t="s">
        <v>19</v>
      </c>
      <c r="D74" t="s">
        <v>44</v>
      </c>
      <c r="E74" s="2">
        <v>43283</v>
      </c>
      <c r="G74">
        <v>72</v>
      </c>
      <c r="H74" t="s">
        <v>22</v>
      </c>
    </row>
    <row r="75" spans="1:8" x14ac:dyDescent="0.25">
      <c r="A75" t="s">
        <v>162</v>
      </c>
      <c r="B75" t="s">
        <v>66</v>
      </c>
      <c r="C75" t="s">
        <v>19</v>
      </c>
      <c r="D75" t="s">
        <v>48</v>
      </c>
      <c r="E75" s="2">
        <v>44819</v>
      </c>
      <c r="G75">
        <v>65</v>
      </c>
      <c r="H75" t="s">
        <v>22</v>
      </c>
    </row>
    <row r="76" spans="1:8" x14ac:dyDescent="0.25">
      <c r="A76" t="s">
        <v>143</v>
      </c>
      <c r="B76" t="s">
        <v>59</v>
      </c>
      <c r="C76" t="s">
        <v>32</v>
      </c>
      <c r="D76" t="s">
        <v>33</v>
      </c>
      <c r="E76" s="2">
        <v>42800</v>
      </c>
      <c r="F76">
        <v>63302</v>
      </c>
      <c r="G76">
        <v>91</v>
      </c>
      <c r="H76" t="s">
        <v>12</v>
      </c>
    </row>
    <row r="77" spans="1:8" x14ac:dyDescent="0.25">
      <c r="A77" t="s">
        <v>163</v>
      </c>
      <c r="B77" t="s">
        <v>53</v>
      </c>
      <c r="C77" t="s">
        <v>19</v>
      </c>
      <c r="D77" t="s">
        <v>79</v>
      </c>
      <c r="E77" s="2">
        <v>42249</v>
      </c>
      <c r="G77">
        <v>67</v>
      </c>
      <c r="H77" t="s">
        <v>51</v>
      </c>
    </row>
    <row r="78" spans="1:8" x14ac:dyDescent="0.25">
      <c r="A78" t="s">
        <v>164</v>
      </c>
      <c r="B78" t="s">
        <v>113</v>
      </c>
      <c r="C78" t="s">
        <v>36</v>
      </c>
      <c r="D78" t="s">
        <v>165</v>
      </c>
      <c r="E78" t="s">
        <v>166</v>
      </c>
      <c r="F78">
        <v>48823</v>
      </c>
      <c r="G78">
        <v>34</v>
      </c>
      <c r="H78" t="s">
        <v>17</v>
      </c>
    </row>
    <row r="79" spans="1:8" x14ac:dyDescent="0.25">
      <c r="A79" t="s">
        <v>167</v>
      </c>
      <c r="B79" t="s">
        <v>53</v>
      </c>
      <c r="C79" t="s">
        <v>19</v>
      </c>
      <c r="D79" t="s">
        <v>76</v>
      </c>
      <c r="E79" s="2">
        <v>43575</v>
      </c>
      <c r="F79">
        <v>45196</v>
      </c>
      <c r="G79">
        <v>78</v>
      </c>
      <c r="H79" t="s">
        <v>22</v>
      </c>
    </row>
    <row r="80" spans="1:8" x14ac:dyDescent="0.25">
      <c r="A80" t="s">
        <v>168</v>
      </c>
      <c r="B80" t="s">
        <v>53</v>
      </c>
      <c r="C80" t="s">
        <v>41</v>
      </c>
      <c r="D80" t="s">
        <v>11</v>
      </c>
      <c r="E80" t="s">
        <v>169</v>
      </c>
      <c r="F80" t="s">
        <v>170</v>
      </c>
      <c r="G80">
        <v>61</v>
      </c>
      <c r="H80" t="s">
        <v>51</v>
      </c>
    </row>
    <row r="81" spans="1:8" x14ac:dyDescent="0.25">
      <c r="A81" t="s">
        <v>171</v>
      </c>
      <c r="B81" t="s">
        <v>9</v>
      </c>
      <c r="C81" t="s">
        <v>47</v>
      </c>
      <c r="D81" t="s">
        <v>44</v>
      </c>
      <c r="E81" t="s">
        <v>172</v>
      </c>
      <c r="F81">
        <v>70359</v>
      </c>
      <c r="G81">
        <v>74</v>
      </c>
      <c r="H81" t="s">
        <v>30</v>
      </c>
    </row>
    <row r="82" spans="1:8" x14ac:dyDescent="0.25">
      <c r="A82" t="s">
        <v>173</v>
      </c>
      <c r="B82" t="s">
        <v>94</v>
      </c>
      <c r="C82" t="s">
        <v>47</v>
      </c>
      <c r="D82" t="s">
        <v>61</v>
      </c>
      <c r="E82" s="2">
        <v>43599</v>
      </c>
      <c r="G82">
        <v>94</v>
      </c>
      <c r="H82" t="s">
        <v>17</v>
      </c>
    </row>
    <row r="83" spans="1:8" x14ac:dyDescent="0.25">
      <c r="A83" t="s">
        <v>90</v>
      </c>
      <c r="B83" t="s">
        <v>28</v>
      </c>
      <c r="C83" t="s">
        <v>15</v>
      </c>
      <c r="D83" t="s">
        <v>33</v>
      </c>
      <c r="E83" t="s">
        <v>91</v>
      </c>
      <c r="F83">
        <v>97055</v>
      </c>
      <c r="G83">
        <v>80</v>
      </c>
      <c r="H83" t="s">
        <v>51</v>
      </c>
    </row>
    <row r="84" spans="1:8" x14ac:dyDescent="0.25">
      <c r="A84" t="s">
        <v>174</v>
      </c>
      <c r="B84" t="s">
        <v>39</v>
      </c>
      <c r="C84" t="s">
        <v>133</v>
      </c>
      <c r="D84" t="s">
        <v>37</v>
      </c>
      <c r="E84" s="2">
        <v>42330</v>
      </c>
      <c r="F84">
        <v>86480</v>
      </c>
      <c r="H84" t="s">
        <v>17</v>
      </c>
    </row>
    <row r="85" spans="1:8" x14ac:dyDescent="0.25">
      <c r="A85" t="s">
        <v>175</v>
      </c>
      <c r="B85" t="s">
        <v>14</v>
      </c>
      <c r="C85" t="s">
        <v>29</v>
      </c>
      <c r="D85" t="s">
        <v>138</v>
      </c>
      <c r="E85" t="s">
        <v>176</v>
      </c>
      <c r="F85" t="s">
        <v>177</v>
      </c>
      <c r="G85">
        <v>75</v>
      </c>
      <c r="H85" t="s">
        <v>17</v>
      </c>
    </row>
    <row r="86" spans="1:8" x14ac:dyDescent="0.25">
      <c r="A86" t="s">
        <v>178</v>
      </c>
      <c r="B86" t="s">
        <v>105</v>
      </c>
      <c r="C86" t="s">
        <v>36</v>
      </c>
      <c r="D86" t="s">
        <v>11</v>
      </c>
      <c r="E86" s="2">
        <v>45171</v>
      </c>
      <c r="F86">
        <v>83724</v>
      </c>
      <c r="G86">
        <v>81</v>
      </c>
      <c r="H86" t="s">
        <v>116</v>
      </c>
    </row>
    <row r="87" spans="1:8" x14ac:dyDescent="0.25">
      <c r="A87" t="s">
        <v>179</v>
      </c>
      <c r="B87" t="s">
        <v>28</v>
      </c>
      <c r="C87" t="s">
        <v>54</v>
      </c>
      <c r="D87" t="s">
        <v>76</v>
      </c>
      <c r="E87" s="2">
        <v>44759</v>
      </c>
      <c r="F87">
        <v>98299</v>
      </c>
      <c r="G87">
        <v>61</v>
      </c>
      <c r="H87" t="s">
        <v>51</v>
      </c>
    </row>
    <row r="88" spans="1:8" x14ac:dyDescent="0.25">
      <c r="A88" t="s">
        <v>180</v>
      </c>
      <c r="B88" t="s">
        <v>113</v>
      </c>
      <c r="C88" t="s">
        <v>54</v>
      </c>
      <c r="D88" t="s">
        <v>26</v>
      </c>
      <c r="E88" t="s">
        <v>181</v>
      </c>
      <c r="G88">
        <v>68</v>
      </c>
      <c r="H88" t="s">
        <v>51</v>
      </c>
    </row>
    <row r="89" spans="1:8" x14ac:dyDescent="0.25">
      <c r="A89" t="s">
        <v>182</v>
      </c>
      <c r="B89" t="s">
        <v>24</v>
      </c>
      <c r="C89" t="s">
        <v>32</v>
      </c>
      <c r="D89" t="s">
        <v>84</v>
      </c>
      <c r="E89" t="s">
        <v>183</v>
      </c>
      <c r="F89">
        <v>52287</v>
      </c>
      <c r="G89">
        <v>70</v>
      </c>
      <c r="H89" t="s">
        <v>12</v>
      </c>
    </row>
    <row r="90" spans="1:8" x14ac:dyDescent="0.25">
      <c r="A90" t="s">
        <v>184</v>
      </c>
      <c r="B90" t="s">
        <v>14</v>
      </c>
      <c r="C90" t="s">
        <v>19</v>
      </c>
      <c r="D90" t="s">
        <v>11</v>
      </c>
      <c r="E90" s="2">
        <v>44073</v>
      </c>
      <c r="F90">
        <v>82633</v>
      </c>
      <c r="G90">
        <v>98</v>
      </c>
      <c r="H90" t="s">
        <v>17</v>
      </c>
    </row>
    <row r="91" spans="1:8" x14ac:dyDescent="0.25">
      <c r="A91" t="s">
        <v>185</v>
      </c>
      <c r="B91" t="s">
        <v>105</v>
      </c>
      <c r="C91" t="s">
        <v>135</v>
      </c>
      <c r="D91" t="s">
        <v>37</v>
      </c>
      <c r="E91" s="2">
        <v>44422</v>
      </c>
      <c r="F91">
        <v>46508</v>
      </c>
      <c r="G91">
        <v>34</v>
      </c>
      <c r="H91" t="s">
        <v>45</v>
      </c>
    </row>
    <row r="92" spans="1:8" x14ac:dyDescent="0.25">
      <c r="A92" t="s">
        <v>186</v>
      </c>
      <c r="B92" t="s">
        <v>9</v>
      </c>
      <c r="C92" t="s">
        <v>19</v>
      </c>
      <c r="D92" t="s">
        <v>138</v>
      </c>
      <c r="E92" t="s">
        <v>187</v>
      </c>
      <c r="F92">
        <v>86232</v>
      </c>
      <c r="G92">
        <v>93</v>
      </c>
      <c r="H92" t="s">
        <v>45</v>
      </c>
    </row>
    <row r="93" spans="1:8" x14ac:dyDescent="0.25">
      <c r="A93" t="s">
        <v>188</v>
      </c>
      <c r="B93" t="s">
        <v>53</v>
      </c>
      <c r="C93" t="s">
        <v>64</v>
      </c>
      <c r="D93" t="s">
        <v>84</v>
      </c>
      <c r="E93" t="s">
        <v>189</v>
      </c>
      <c r="F93" t="s">
        <v>190</v>
      </c>
      <c r="G93">
        <v>48</v>
      </c>
      <c r="H93" t="s">
        <v>45</v>
      </c>
    </row>
    <row r="94" spans="1:8" x14ac:dyDescent="0.25">
      <c r="A94" t="s">
        <v>191</v>
      </c>
      <c r="B94" t="s">
        <v>160</v>
      </c>
      <c r="C94" t="s">
        <v>19</v>
      </c>
      <c r="D94" t="s">
        <v>37</v>
      </c>
      <c r="E94" s="2">
        <v>43436</v>
      </c>
      <c r="F94">
        <v>68683</v>
      </c>
      <c r="G94">
        <v>90</v>
      </c>
      <c r="H94" t="s">
        <v>51</v>
      </c>
    </row>
    <row r="95" spans="1:8" x14ac:dyDescent="0.25">
      <c r="A95" t="s">
        <v>192</v>
      </c>
      <c r="B95" t="s">
        <v>28</v>
      </c>
      <c r="C95" t="s">
        <v>60</v>
      </c>
      <c r="D95" t="s">
        <v>26</v>
      </c>
      <c r="E95" s="2">
        <v>43639</v>
      </c>
      <c r="F95">
        <v>83932</v>
      </c>
      <c r="G95">
        <v>57</v>
      </c>
      <c r="H95" t="s">
        <v>22</v>
      </c>
    </row>
    <row r="96" spans="1:8" x14ac:dyDescent="0.25">
      <c r="A96" t="s">
        <v>193</v>
      </c>
      <c r="B96" t="s">
        <v>39</v>
      </c>
      <c r="C96" t="s">
        <v>135</v>
      </c>
      <c r="D96" t="s">
        <v>97</v>
      </c>
      <c r="E96" s="2">
        <v>42304</v>
      </c>
      <c r="F96">
        <v>56073</v>
      </c>
      <c r="G96">
        <v>79</v>
      </c>
      <c r="H96" t="s">
        <v>45</v>
      </c>
    </row>
    <row r="97" spans="1:8" x14ac:dyDescent="0.25">
      <c r="A97" t="s">
        <v>194</v>
      </c>
      <c r="B97" t="s">
        <v>105</v>
      </c>
      <c r="C97" t="s">
        <v>32</v>
      </c>
      <c r="D97" t="s">
        <v>20</v>
      </c>
      <c r="E97" s="2">
        <v>43270</v>
      </c>
      <c r="F97" t="s">
        <v>195</v>
      </c>
      <c r="G97">
        <v>66</v>
      </c>
      <c r="H97" t="s">
        <v>51</v>
      </c>
    </row>
    <row r="98" spans="1:8" x14ac:dyDescent="0.25">
      <c r="A98" t="s">
        <v>196</v>
      </c>
      <c r="B98" t="s">
        <v>28</v>
      </c>
      <c r="C98" t="s">
        <v>47</v>
      </c>
      <c r="D98" t="s">
        <v>165</v>
      </c>
      <c r="E98" s="2">
        <v>43112</v>
      </c>
      <c r="F98">
        <v>67414</v>
      </c>
      <c r="G98">
        <v>84</v>
      </c>
      <c r="H98" t="s">
        <v>30</v>
      </c>
    </row>
    <row r="99" spans="1:8" x14ac:dyDescent="0.25">
      <c r="A99" t="s">
        <v>197</v>
      </c>
      <c r="B99" t="s">
        <v>160</v>
      </c>
      <c r="C99" t="s">
        <v>19</v>
      </c>
      <c r="D99" t="s">
        <v>44</v>
      </c>
      <c r="E99" s="2">
        <v>42008</v>
      </c>
      <c r="F99" t="s">
        <v>198</v>
      </c>
      <c r="G99">
        <v>61</v>
      </c>
      <c r="H99" t="s">
        <v>51</v>
      </c>
    </row>
    <row r="100" spans="1:8" x14ac:dyDescent="0.25">
      <c r="A100" t="s">
        <v>199</v>
      </c>
      <c r="C100" t="s">
        <v>29</v>
      </c>
      <c r="D100" t="s">
        <v>44</v>
      </c>
      <c r="E100" s="2">
        <v>43439</v>
      </c>
      <c r="F100">
        <v>80140</v>
      </c>
      <c r="G100">
        <v>58</v>
      </c>
      <c r="H100" t="s">
        <v>45</v>
      </c>
    </row>
    <row r="101" spans="1:8" x14ac:dyDescent="0.25">
      <c r="A101" t="s">
        <v>200</v>
      </c>
      <c r="B101" t="s">
        <v>24</v>
      </c>
      <c r="C101" t="s">
        <v>32</v>
      </c>
      <c r="D101" t="s">
        <v>11</v>
      </c>
      <c r="E101" s="2">
        <v>44482</v>
      </c>
      <c r="F101">
        <v>73087</v>
      </c>
      <c r="G101">
        <v>69</v>
      </c>
      <c r="H101" t="s">
        <v>51</v>
      </c>
    </row>
    <row r="102" spans="1:8" x14ac:dyDescent="0.25">
      <c r="A102" t="s">
        <v>201</v>
      </c>
      <c r="B102" t="s">
        <v>53</v>
      </c>
      <c r="C102" t="s">
        <v>32</v>
      </c>
      <c r="D102" t="s">
        <v>79</v>
      </c>
      <c r="E102" s="2">
        <v>44081</v>
      </c>
      <c r="F102">
        <v>95292</v>
      </c>
      <c r="G102">
        <v>34</v>
      </c>
      <c r="H102" t="s">
        <v>12</v>
      </c>
    </row>
    <row r="103" spans="1:8" x14ac:dyDescent="0.25">
      <c r="A103" t="s">
        <v>202</v>
      </c>
      <c r="B103" t="s">
        <v>24</v>
      </c>
      <c r="C103" t="s">
        <v>60</v>
      </c>
      <c r="D103" t="s">
        <v>20</v>
      </c>
      <c r="E103" t="s">
        <v>203</v>
      </c>
      <c r="G103">
        <v>33</v>
      </c>
      <c r="H103" t="s">
        <v>12</v>
      </c>
    </row>
    <row r="104" spans="1:8" x14ac:dyDescent="0.25">
      <c r="A104" t="s">
        <v>204</v>
      </c>
      <c r="B104" t="s">
        <v>53</v>
      </c>
      <c r="C104" t="s">
        <v>69</v>
      </c>
      <c r="D104" t="s">
        <v>16</v>
      </c>
      <c r="E104" t="s">
        <v>205</v>
      </c>
      <c r="F104">
        <v>101750</v>
      </c>
      <c r="G104">
        <v>84</v>
      </c>
      <c r="H104" t="s">
        <v>108</v>
      </c>
    </row>
    <row r="105" spans="1:8" x14ac:dyDescent="0.25">
      <c r="A105" t="s">
        <v>206</v>
      </c>
      <c r="B105" t="s">
        <v>105</v>
      </c>
      <c r="C105" t="s">
        <v>19</v>
      </c>
      <c r="D105" t="s">
        <v>55</v>
      </c>
      <c r="E105" t="s">
        <v>207</v>
      </c>
      <c r="F105">
        <v>82992</v>
      </c>
      <c r="G105">
        <v>79</v>
      </c>
      <c r="H105" t="s">
        <v>51</v>
      </c>
    </row>
    <row r="106" spans="1:8" x14ac:dyDescent="0.25">
      <c r="A106" t="s">
        <v>208</v>
      </c>
      <c r="B106" t="s">
        <v>160</v>
      </c>
      <c r="C106" t="s">
        <v>64</v>
      </c>
      <c r="D106" t="s">
        <v>11</v>
      </c>
      <c r="E106" s="2">
        <v>45055</v>
      </c>
      <c r="F106" t="s">
        <v>209</v>
      </c>
      <c r="G106">
        <v>51</v>
      </c>
      <c r="H106" t="s">
        <v>12</v>
      </c>
    </row>
    <row r="107" spans="1:8" x14ac:dyDescent="0.25">
      <c r="A107" t="s">
        <v>210</v>
      </c>
      <c r="B107" t="s">
        <v>24</v>
      </c>
      <c r="C107" t="s">
        <v>29</v>
      </c>
      <c r="D107" t="s">
        <v>37</v>
      </c>
      <c r="E107" s="2">
        <v>43122</v>
      </c>
      <c r="F107">
        <v>89060</v>
      </c>
      <c r="G107">
        <v>58</v>
      </c>
      <c r="H107" t="s">
        <v>12</v>
      </c>
    </row>
    <row r="108" spans="1:8" x14ac:dyDescent="0.25">
      <c r="A108" t="s">
        <v>211</v>
      </c>
      <c r="B108" t="s">
        <v>66</v>
      </c>
      <c r="C108" t="s">
        <v>19</v>
      </c>
      <c r="D108" t="s">
        <v>11</v>
      </c>
      <c r="E108" s="2">
        <v>43879</v>
      </c>
      <c r="F108">
        <v>53786</v>
      </c>
      <c r="G108">
        <v>98</v>
      </c>
      <c r="H108" t="s">
        <v>45</v>
      </c>
    </row>
    <row r="109" spans="1:8" x14ac:dyDescent="0.25">
      <c r="A109" t="s">
        <v>212</v>
      </c>
      <c r="B109" t="s">
        <v>9</v>
      </c>
      <c r="C109" t="s">
        <v>32</v>
      </c>
      <c r="D109" t="s">
        <v>33</v>
      </c>
      <c r="E109" t="s">
        <v>213</v>
      </c>
      <c r="F109">
        <v>81167</v>
      </c>
      <c r="H109" t="s">
        <v>45</v>
      </c>
    </row>
    <row r="110" spans="1:8" x14ac:dyDescent="0.25">
      <c r="A110" t="s">
        <v>214</v>
      </c>
      <c r="B110" t="s">
        <v>160</v>
      </c>
      <c r="C110" t="s">
        <v>54</v>
      </c>
      <c r="D110" t="s">
        <v>16</v>
      </c>
      <c r="E110" s="2">
        <v>44349</v>
      </c>
      <c r="F110">
        <v>66688</v>
      </c>
      <c r="G110">
        <v>40</v>
      </c>
      <c r="H110" t="s">
        <v>108</v>
      </c>
    </row>
    <row r="111" spans="1:8" x14ac:dyDescent="0.25">
      <c r="A111" t="s">
        <v>215</v>
      </c>
      <c r="B111" t="s">
        <v>66</v>
      </c>
      <c r="C111" t="s">
        <v>60</v>
      </c>
      <c r="D111" t="s">
        <v>11</v>
      </c>
      <c r="E111" s="2">
        <v>44394</v>
      </c>
      <c r="F111">
        <v>91672</v>
      </c>
      <c r="G111">
        <v>88</v>
      </c>
      <c r="H111" t="s">
        <v>17</v>
      </c>
    </row>
    <row r="112" spans="1:8" x14ac:dyDescent="0.25">
      <c r="A112" t="s">
        <v>216</v>
      </c>
      <c r="B112" t="s">
        <v>39</v>
      </c>
      <c r="C112" t="s">
        <v>19</v>
      </c>
      <c r="D112" t="s">
        <v>157</v>
      </c>
      <c r="E112" t="s">
        <v>217</v>
      </c>
      <c r="F112" t="s">
        <v>218</v>
      </c>
      <c r="G112">
        <v>77</v>
      </c>
      <c r="H112" t="s">
        <v>12</v>
      </c>
    </row>
    <row r="113" spans="1:8" x14ac:dyDescent="0.25">
      <c r="A113" t="s">
        <v>219</v>
      </c>
      <c r="B113" t="s">
        <v>94</v>
      </c>
      <c r="C113" t="s">
        <v>47</v>
      </c>
      <c r="D113" t="s">
        <v>79</v>
      </c>
      <c r="E113" s="2">
        <v>43513</v>
      </c>
      <c r="F113" t="s">
        <v>220</v>
      </c>
      <c r="G113">
        <v>91</v>
      </c>
      <c r="H113" t="s">
        <v>12</v>
      </c>
    </row>
    <row r="114" spans="1:8" x14ac:dyDescent="0.25">
      <c r="A114" t="s">
        <v>221</v>
      </c>
      <c r="B114" t="s">
        <v>39</v>
      </c>
      <c r="C114" t="s">
        <v>29</v>
      </c>
      <c r="D114" t="s">
        <v>44</v>
      </c>
      <c r="E114" s="2">
        <v>42625</v>
      </c>
      <c r="F114">
        <v>114681</v>
      </c>
      <c r="G114">
        <v>36</v>
      </c>
      <c r="H114" t="s">
        <v>17</v>
      </c>
    </row>
    <row r="115" spans="1:8" x14ac:dyDescent="0.25">
      <c r="A115" t="s">
        <v>222</v>
      </c>
      <c r="B115" t="s">
        <v>28</v>
      </c>
      <c r="C115" t="s">
        <v>60</v>
      </c>
      <c r="D115" t="s">
        <v>37</v>
      </c>
      <c r="E115" t="s">
        <v>223</v>
      </c>
      <c r="F115" t="s">
        <v>224</v>
      </c>
      <c r="G115">
        <v>72</v>
      </c>
      <c r="H115" t="s">
        <v>45</v>
      </c>
    </row>
    <row r="116" spans="1:8" x14ac:dyDescent="0.25">
      <c r="A116" t="s">
        <v>225</v>
      </c>
      <c r="B116" t="s">
        <v>71</v>
      </c>
      <c r="C116" t="s">
        <v>10</v>
      </c>
      <c r="D116" t="s">
        <v>16</v>
      </c>
      <c r="E116" s="2">
        <v>43996</v>
      </c>
      <c r="F116" t="s">
        <v>226</v>
      </c>
      <c r="G116">
        <v>87</v>
      </c>
      <c r="H116" t="s">
        <v>12</v>
      </c>
    </row>
    <row r="117" spans="1:8" x14ac:dyDescent="0.25">
      <c r="A117" t="s">
        <v>227</v>
      </c>
      <c r="B117" t="s">
        <v>59</v>
      </c>
      <c r="C117" t="s">
        <v>25</v>
      </c>
      <c r="D117" t="s">
        <v>20</v>
      </c>
      <c r="E117" t="s">
        <v>228</v>
      </c>
      <c r="F117">
        <v>118008</v>
      </c>
      <c r="G117">
        <v>71</v>
      </c>
      <c r="H117" t="s">
        <v>12</v>
      </c>
    </row>
    <row r="118" spans="1:8" x14ac:dyDescent="0.25">
      <c r="A118" t="s">
        <v>229</v>
      </c>
      <c r="B118" t="s">
        <v>28</v>
      </c>
      <c r="C118" t="s">
        <v>47</v>
      </c>
      <c r="D118" t="s">
        <v>11</v>
      </c>
      <c r="E118" t="s">
        <v>230</v>
      </c>
      <c r="F118">
        <v>74370</v>
      </c>
      <c r="G118">
        <v>82</v>
      </c>
      <c r="H118" t="s">
        <v>51</v>
      </c>
    </row>
    <row r="119" spans="1:8" x14ac:dyDescent="0.25">
      <c r="A119" t="s">
        <v>231</v>
      </c>
      <c r="B119" t="s">
        <v>113</v>
      </c>
      <c r="C119" t="s">
        <v>41</v>
      </c>
      <c r="D119" t="s">
        <v>20</v>
      </c>
      <c r="E119" s="2">
        <v>44674</v>
      </c>
      <c r="F119">
        <v>77819</v>
      </c>
      <c r="G119">
        <v>79</v>
      </c>
      <c r="H119" t="s">
        <v>17</v>
      </c>
    </row>
    <row r="120" spans="1:8" x14ac:dyDescent="0.25">
      <c r="A120" t="s">
        <v>232</v>
      </c>
      <c r="B120" t="s">
        <v>53</v>
      </c>
      <c r="C120" t="s">
        <v>47</v>
      </c>
      <c r="D120" t="s">
        <v>61</v>
      </c>
      <c r="E120" t="s">
        <v>233</v>
      </c>
      <c r="F120">
        <v>48748</v>
      </c>
      <c r="G120">
        <v>83</v>
      </c>
      <c r="H120" t="s">
        <v>51</v>
      </c>
    </row>
    <row r="121" spans="1:8" x14ac:dyDescent="0.25">
      <c r="A121" t="s">
        <v>234</v>
      </c>
      <c r="B121" t="s">
        <v>66</v>
      </c>
      <c r="C121" t="s">
        <v>41</v>
      </c>
      <c r="D121" t="s">
        <v>33</v>
      </c>
      <c r="E121" s="2">
        <v>43971</v>
      </c>
      <c r="F121">
        <v>101997</v>
      </c>
      <c r="G121">
        <v>38</v>
      </c>
      <c r="H121" t="s">
        <v>116</v>
      </c>
    </row>
    <row r="122" spans="1:8" x14ac:dyDescent="0.25">
      <c r="A122" t="s">
        <v>235</v>
      </c>
      <c r="B122" t="s">
        <v>94</v>
      </c>
      <c r="C122" t="s">
        <v>41</v>
      </c>
      <c r="D122" t="s">
        <v>97</v>
      </c>
      <c r="E122" t="s">
        <v>236</v>
      </c>
      <c r="F122">
        <v>115260</v>
      </c>
      <c r="G122">
        <v>77</v>
      </c>
      <c r="H122" t="s">
        <v>51</v>
      </c>
    </row>
    <row r="123" spans="1:8" x14ac:dyDescent="0.25">
      <c r="A123" t="s">
        <v>237</v>
      </c>
      <c r="B123" t="s">
        <v>94</v>
      </c>
      <c r="C123" t="s">
        <v>36</v>
      </c>
      <c r="D123" t="s">
        <v>44</v>
      </c>
      <c r="E123" s="2">
        <v>44500</v>
      </c>
      <c r="G123">
        <v>49</v>
      </c>
      <c r="H123" t="s">
        <v>12</v>
      </c>
    </row>
    <row r="124" spans="1:8" x14ac:dyDescent="0.25">
      <c r="A124" t="s">
        <v>238</v>
      </c>
      <c r="B124" t="s">
        <v>105</v>
      </c>
      <c r="C124" t="s">
        <v>10</v>
      </c>
      <c r="D124" t="s">
        <v>20</v>
      </c>
      <c r="E124" t="s">
        <v>239</v>
      </c>
      <c r="G124">
        <v>69</v>
      </c>
      <c r="H124" t="s">
        <v>108</v>
      </c>
    </row>
    <row r="125" spans="1:8" x14ac:dyDescent="0.25">
      <c r="A125" t="s">
        <v>240</v>
      </c>
      <c r="B125" t="s">
        <v>59</v>
      </c>
      <c r="C125" t="s">
        <v>54</v>
      </c>
      <c r="D125" t="s">
        <v>44</v>
      </c>
      <c r="E125" s="2">
        <v>42956</v>
      </c>
      <c r="G125">
        <v>76</v>
      </c>
      <c r="H125" t="s">
        <v>12</v>
      </c>
    </row>
    <row r="126" spans="1:8" x14ac:dyDescent="0.25">
      <c r="A126" t="s">
        <v>241</v>
      </c>
      <c r="B126" t="s">
        <v>105</v>
      </c>
      <c r="C126" t="s">
        <v>41</v>
      </c>
      <c r="D126" t="s">
        <v>165</v>
      </c>
      <c r="E126" s="2">
        <v>44930</v>
      </c>
      <c r="F126">
        <v>60623</v>
      </c>
      <c r="G126">
        <v>78</v>
      </c>
      <c r="H126" t="s">
        <v>45</v>
      </c>
    </row>
    <row r="127" spans="1:8" x14ac:dyDescent="0.25">
      <c r="A127" t="s">
        <v>242</v>
      </c>
      <c r="B127" t="s">
        <v>66</v>
      </c>
      <c r="C127" t="s">
        <v>32</v>
      </c>
      <c r="D127" t="s">
        <v>157</v>
      </c>
      <c r="E127" t="s">
        <v>243</v>
      </c>
      <c r="F127" t="s">
        <v>244</v>
      </c>
      <c r="G127">
        <v>93</v>
      </c>
      <c r="H127" t="s">
        <v>12</v>
      </c>
    </row>
    <row r="128" spans="1:8" x14ac:dyDescent="0.25">
      <c r="A128" t="s">
        <v>245</v>
      </c>
      <c r="B128" t="s">
        <v>43</v>
      </c>
      <c r="C128" t="s">
        <v>36</v>
      </c>
      <c r="D128" t="s">
        <v>16</v>
      </c>
      <c r="E128" s="2">
        <v>44653</v>
      </c>
      <c r="F128">
        <v>88155</v>
      </c>
      <c r="G128">
        <v>68</v>
      </c>
      <c r="H128" t="s">
        <v>45</v>
      </c>
    </row>
    <row r="129" spans="1:8" x14ac:dyDescent="0.25">
      <c r="A129" t="s">
        <v>246</v>
      </c>
      <c r="B129" t="s">
        <v>160</v>
      </c>
      <c r="C129" t="s">
        <v>60</v>
      </c>
      <c r="D129" t="s">
        <v>16</v>
      </c>
      <c r="E129" t="s">
        <v>247</v>
      </c>
      <c r="F129">
        <v>107903</v>
      </c>
      <c r="G129">
        <v>42</v>
      </c>
      <c r="H129" t="s">
        <v>17</v>
      </c>
    </row>
    <row r="130" spans="1:8" x14ac:dyDescent="0.25">
      <c r="A130" t="s">
        <v>248</v>
      </c>
      <c r="B130" t="s">
        <v>160</v>
      </c>
      <c r="C130" t="s">
        <v>54</v>
      </c>
      <c r="D130" t="s">
        <v>11</v>
      </c>
      <c r="E130" s="2">
        <v>43305</v>
      </c>
      <c r="F130">
        <v>62818</v>
      </c>
      <c r="G130">
        <v>34</v>
      </c>
      <c r="H130" t="s">
        <v>17</v>
      </c>
    </row>
    <row r="131" spans="1:8" x14ac:dyDescent="0.25">
      <c r="A131" t="s">
        <v>249</v>
      </c>
      <c r="B131" t="s">
        <v>113</v>
      </c>
      <c r="C131" t="s">
        <v>54</v>
      </c>
      <c r="D131" t="s">
        <v>157</v>
      </c>
      <c r="E131" s="2">
        <v>43301</v>
      </c>
      <c r="F131">
        <v>85151</v>
      </c>
      <c r="G131">
        <v>35</v>
      </c>
      <c r="H131" t="s">
        <v>17</v>
      </c>
    </row>
    <row r="132" spans="1:8" x14ac:dyDescent="0.25">
      <c r="A132" t="s">
        <v>250</v>
      </c>
      <c r="B132" t="s">
        <v>53</v>
      </c>
      <c r="C132" t="s">
        <v>64</v>
      </c>
      <c r="D132" t="s">
        <v>76</v>
      </c>
      <c r="E132" t="s">
        <v>251</v>
      </c>
      <c r="F132">
        <v>46390</v>
      </c>
      <c r="G132">
        <v>95</v>
      </c>
      <c r="H132" t="s">
        <v>51</v>
      </c>
    </row>
    <row r="133" spans="1:8" x14ac:dyDescent="0.25">
      <c r="A133" t="s">
        <v>174</v>
      </c>
      <c r="B133" t="s">
        <v>39</v>
      </c>
      <c r="C133" t="s">
        <v>133</v>
      </c>
      <c r="D133" t="s">
        <v>37</v>
      </c>
      <c r="E133" s="2">
        <v>42330</v>
      </c>
      <c r="F133">
        <v>86480</v>
      </c>
      <c r="H133" t="s">
        <v>17</v>
      </c>
    </row>
    <row r="134" spans="1:8" x14ac:dyDescent="0.25">
      <c r="A134" t="s">
        <v>252</v>
      </c>
      <c r="B134" t="s">
        <v>24</v>
      </c>
      <c r="C134" t="s">
        <v>25</v>
      </c>
      <c r="D134" t="s">
        <v>157</v>
      </c>
      <c r="E134" s="2">
        <v>44643</v>
      </c>
      <c r="F134">
        <v>111920</v>
      </c>
      <c r="G134">
        <v>90</v>
      </c>
      <c r="H134" t="s">
        <v>22</v>
      </c>
    </row>
    <row r="135" spans="1:8" x14ac:dyDescent="0.25">
      <c r="A135" t="s">
        <v>253</v>
      </c>
      <c r="B135" t="s">
        <v>113</v>
      </c>
      <c r="C135" t="s">
        <v>135</v>
      </c>
      <c r="D135" t="s">
        <v>138</v>
      </c>
      <c r="E135" t="s">
        <v>254</v>
      </c>
      <c r="F135" t="s">
        <v>255</v>
      </c>
      <c r="G135">
        <v>42</v>
      </c>
      <c r="H135" t="s">
        <v>17</v>
      </c>
    </row>
    <row r="136" spans="1:8" x14ac:dyDescent="0.25">
      <c r="A136" t="s">
        <v>256</v>
      </c>
      <c r="B136" t="s">
        <v>94</v>
      </c>
      <c r="C136" t="s">
        <v>29</v>
      </c>
      <c r="D136" t="s">
        <v>44</v>
      </c>
      <c r="E136" t="s">
        <v>257</v>
      </c>
      <c r="F136" t="s">
        <v>258</v>
      </c>
      <c r="G136">
        <v>88</v>
      </c>
      <c r="H136" t="s">
        <v>116</v>
      </c>
    </row>
    <row r="137" spans="1:8" x14ac:dyDescent="0.25">
      <c r="A137" t="s">
        <v>259</v>
      </c>
      <c r="B137" t="s">
        <v>105</v>
      </c>
      <c r="C137" t="s">
        <v>15</v>
      </c>
      <c r="D137" t="s">
        <v>37</v>
      </c>
      <c r="E137" t="s">
        <v>260</v>
      </c>
      <c r="F137">
        <v>108395</v>
      </c>
      <c r="G137">
        <v>78</v>
      </c>
      <c r="H137" t="s">
        <v>30</v>
      </c>
    </row>
    <row r="138" spans="1:8" x14ac:dyDescent="0.25">
      <c r="A138" t="s">
        <v>261</v>
      </c>
      <c r="B138" t="s">
        <v>105</v>
      </c>
      <c r="C138" t="s">
        <v>32</v>
      </c>
      <c r="D138" t="s">
        <v>26</v>
      </c>
      <c r="E138" s="2">
        <v>43091</v>
      </c>
      <c r="F138">
        <v>88005</v>
      </c>
      <c r="G138">
        <v>69</v>
      </c>
      <c r="H138" t="s">
        <v>51</v>
      </c>
    </row>
    <row r="139" spans="1:8" x14ac:dyDescent="0.25">
      <c r="A139" t="s">
        <v>86</v>
      </c>
      <c r="B139" t="s">
        <v>43</v>
      </c>
      <c r="C139" t="s">
        <v>36</v>
      </c>
      <c r="D139" t="s">
        <v>87</v>
      </c>
      <c r="E139" t="s">
        <v>88</v>
      </c>
      <c r="F139">
        <v>85312</v>
      </c>
      <c r="G139">
        <v>66</v>
      </c>
      <c r="H139" t="s">
        <v>12</v>
      </c>
    </row>
    <row r="140" spans="1:8" x14ac:dyDescent="0.25">
      <c r="A140" t="s">
        <v>262</v>
      </c>
      <c r="B140" t="s">
        <v>53</v>
      </c>
      <c r="C140" t="s">
        <v>133</v>
      </c>
      <c r="D140" t="s">
        <v>61</v>
      </c>
      <c r="E140" t="s">
        <v>263</v>
      </c>
      <c r="F140">
        <v>83007</v>
      </c>
      <c r="G140">
        <v>82</v>
      </c>
      <c r="H140" t="s">
        <v>45</v>
      </c>
    </row>
    <row r="141" spans="1:8" x14ac:dyDescent="0.25">
      <c r="A141" t="s">
        <v>264</v>
      </c>
      <c r="B141" t="s">
        <v>113</v>
      </c>
      <c r="C141" t="s">
        <v>64</v>
      </c>
      <c r="D141" t="s">
        <v>11</v>
      </c>
      <c r="E141" s="2">
        <v>43360</v>
      </c>
      <c r="F141" t="s">
        <v>265</v>
      </c>
      <c r="G141">
        <v>68</v>
      </c>
      <c r="H141" t="s">
        <v>17</v>
      </c>
    </row>
    <row r="142" spans="1:8" x14ac:dyDescent="0.25">
      <c r="A142" t="s">
        <v>266</v>
      </c>
      <c r="B142" t="s">
        <v>66</v>
      </c>
      <c r="C142" t="s">
        <v>36</v>
      </c>
      <c r="D142" t="s">
        <v>48</v>
      </c>
      <c r="E142" s="2">
        <v>44375</v>
      </c>
      <c r="G142">
        <v>52</v>
      </c>
      <c r="H142" t="s">
        <v>45</v>
      </c>
    </row>
    <row r="143" spans="1:8" x14ac:dyDescent="0.25">
      <c r="A143" t="s">
        <v>267</v>
      </c>
      <c r="B143" t="s">
        <v>14</v>
      </c>
      <c r="C143" t="s">
        <v>32</v>
      </c>
      <c r="D143" t="s">
        <v>33</v>
      </c>
      <c r="E143" t="s">
        <v>268</v>
      </c>
      <c r="F143">
        <v>50399</v>
      </c>
      <c r="G143">
        <v>92</v>
      </c>
      <c r="H143" t="s">
        <v>108</v>
      </c>
    </row>
    <row r="144" spans="1:8" x14ac:dyDescent="0.25">
      <c r="A144" t="s">
        <v>269</v>
      </c>
      <c r="B144" t="s">
        <v>14</v>
      </c>
      <c r="C144" t="s">
        <v>54</v>
      </c>
      <c r="D144" t="s">
        <v>26</v>
      </c>
      <c r="E144" t="s">
        <v>270</v>
      </c>
      <c r="G144">
        <v>62</v>
      </c>
      <c r="H144" t="s">
        <v>17</v>
      </c>
    </row>
    <row r="145" spans="1:8" x14ac:dyDescent="0.25">
      <c r="A145" t="s">
        <v>271</v>
      </c>
      <c r="B145" t="s">
        <v>24</v>
      </c>
      <c r="C145" t="s">
        <v>15</v>
      </c>
      <c r="D145" t="s">
        <v>33</v>
      </c>
      <c r="E145" s="2">
        <v>43257</v>
      </c>
      <c r="F145">
        <v>52720</v>
      </c>
      <c r="G145">
        <v>68</v>
      </c>
      <c r="H145" t="s">
        <v>17</v>
      </c>
    </row>
    <row r="146" spans="1:8" x14ac:dyDescent="0.25">
      <c r="A146" t="s">
        <v>272</v>
      </c>
      <c r="B146" t="s">
        <v>94</v>
      </c>
      <c r="C146" t="s">
        <v>19</v>
      </c>
      <c r="D146" t="s">
        <v>33</v>
      </c>
      <c r="E146" s="2">
        <v>42932</v>
      </c>
      <c r="F146">
        <v>65065</v>
      </c>
      <c r="G146">
        <v>98</v>
      </c>
      <c r="H146" t="s">
        <v>45</v>
      </c>
    </row>
    <row r="147" spans="1:8" x14ac:dyDescent="0.25">
      <c r="A147" t="s">
        <v>273</v>
      </c>
      <c r="B147" t="s">
        <v>105</v>
      </c>
      <c r="C147" t="s">
        <v>15</v>
      </c>
      <c r="D147" t="s">
        <v>44</v>
      </c>
      <c r="E147" s="2">
        <v>42175</v>
      </c>
      <c r="G147">
        <v>94</v>
      </c>
      <c r="H147" t="s">
        <v>116</v>
      </c>
    </row>
    <row r="148" spans="1:8" x14ac:dyDescent="0.25">
      <c r="A148" t="s">
        <v>274</v>
      </c>
      <c r="B148" t="s">
        <v>105</v>
      </c>
      <c r="C148" t="s">
        <v>15</v>
      </c>
      <c r="D148" t="s">
        <v>37</v>
      </c>
      <c r="E148" s="2">
        <v>43609</v>
      </c>
      <c r="F148" t="s">
        <v>275</v>
      </c>
      <c r="G148">
        <v>57</v>
      </c>
      <c r="H148" t="s">
        <v>116</v>
      </c>
    </row>
    <row r="149" spans="1:8" x14ac:dyDescent="0.25">
      <c r="A149" t="s">
        <v>276</v>
      </c>
      <c r="B149" t="s">
        <v>24</v>
      </c>
      <c r="C149" t="s">
        <v>64</v>
      </c>
      <c r="D149" t="s">
        <v>84</v>
      </c>
      <c r="E149" s="2">
        <v>43887</v>
      </c>
      <c r="G149">
        <v>96</v>
      </c>
      <c r="H149" t="s">
        <v>12</v>
      </c>
    </row>
    <row r="150" spans="1:8" x14ac:dyDescent="0.25">
      <c r="A150" t="s">
        <v>277</v>
      </c>
      <c r="B150" t="s">
        <v>14</v>
      </c>
      <c r="C150" t="s">
        <v>64</v>
      </c>
      <c r="D150" t="s">
        <v>97</v>
      </c>
      <c r="E150" s="2">
        <v>44991</v>
      </c>
      <c r="F150">
        <v>106896</v>
      </c>
      <c r="G150">
        <v>52</v>
      </c>
      <c r="H150" t="s">
        <v>22</v>
      </c>
    </row>
    <row r="151" spans="1:8" x14ac:dyDescent="0.25">
      <c r="A151" t="s">
        <v>278</v>
      </c>
      <c r="C151" t="s">
        <v>60</v>
      </c>
      <c r="D151" t="s">
        <v>20</v>
      </c>
      <c r="E151" t="s">
        <v>279</v>
      </c>
      <c r="F151">
        <v>112887</v>
      </c>
      <c r="G151">
        <v>59</v>
      </c>
      <c r="H151" t="s">
        <v>51</v>
      </c>
    </row>
    <row r="152" spans="1:8" x14ac:dyDescent="0.25">
      <c r="A152" t="s">
        <v>215</v>
      </c>
      <c r="B152" t="s">
        <v>66</v>
      </c>
      <c r="C152" t="s">
        <v>60</v>
      </c>
      <c r="D152" t="s">
        <v>11</v>
      </c>
      <c r="E152" s="2">
        <v>44394</v>
      </c>
      <c r="F152">
        <v>91672</v>
      </c>
      <c r="G152">
        <v>88</v>
      </c>
      <c r="H152" t="s">
        <v>17</v>
      </c>
    </row>
    <row r="153" spans="1:8" x14ac:dyDescent="0.25">
      <c r="A153" t="s">
        <v>280</v>
      </c>
      <c r="B153" t="s">
        <v>160</v>
      </c>
      <c r="C153" t="s">
        <v>41</v>
      </c>
      <c r="D153" t="s">
        <v>26</v>
      </c>
      <c r="E153" s="2">
        <v>45037</v>
      </c>
      <c r="F153">
        <v>85457</v>
      </c>
      <c r="G153">
        <v>79</v>
      </c>
      <c r="H153" t="s">
        <v>17</v>
      </c>
    </row>
    <row r="154" spans="1:8" x14ac:dyDescent="0.25">
      <c r="A154" t="s">
        <v>281</v>
      </c>
      <c r="B154" t="s">
        <v>105</v>
      </c>
      <c r="C154" t="s">
        <v>47</v>
      </c>
      <c r="D154" t="s">
        <v>48</v>
      </c>
      <c r="E154" s="2">
        <v>42519</v>
      </c>
      <c r="F154">
        <v>62798</v>
      </c>
      <c r="G154">
        <v>30</v>
      </c>
      <c r="H154" t="s">
        <v>17</v>
      </c>
    </row>
    <row r="155" spans="1:8" x14ac:dyDescent="0.25">
      <c r="A155" t="s">
        <v>282</v>
      </c>
      <c r="B155" t="s">
        <v>9</v>
      </c>
      <c r="C155" t="s">
        <v>25</v>
      </c>
      <c r="D155" t="s">
        <v>33</v>
      </c>
      <c r="E155" s="2">
        <v>44711</v>
      </c>
      <c r="F155">
        <v>47794</v>
      </c>
      <c r="G155">
        <v>73</v>
      </c>
      <c r="H155" t="s">
        <v>22</v>
      </c>
    </row>
    <row r="156" spans="1:8" x14ac:dyDescent="0.25">
      <c r="A156" t="s">
        <v>89</v>
      </c>
      <c r="B156" t="s">
        <v>24</v>
      </c>
      <c r="C156" t="s">
        <v>41</v>
      </c>
      <c r="D156" t="s">
        <v>44</v>
      </c>
      <c r="E156" s="2">
        <v>42202</v>
      </c>
      <c r="G156">
        <v>68</v>
      </c>
      <c r="H156" t="s">
        <v>12</v>
      </c>
    </row>
    <row r="157" spans="1:8" x14ac:dyDescent="0.25">
      <c r="A157" t="s">
        <v>283</v>
      </c>
      <c r="B157" t="s">
        <v>66</v>
      </c>
      <c r="C157" t="s">
        <v>41</v>
      </c>
      <c r="D157" t="s">
        <v>16</v>
      </c>
      <c r="E157" t="s">
        <v>284</v>
      </c>
      <c r="F157">
        <v>93094</v>
      </c>
      <c r="G157">
        <v>74</v>
      </c>
      <c r="H157" t="s">
        <v>12</v>
      </c>
    </row>
    <row r="158" spans="1:8" x14ac:dyDescent="0.25">
      <c r="A158" t="s">
        <v>285</v>
      </c>
      <c r="B158" t="s">
        <v>71</v>
      </c>
      <c r="C158" t="s">
        <v>10</v>
      </c>
      <c r="D158" t="s">
        <v>11</v>
      </c>
      <c r="E158" s="2">
        <v>44848</v>
      </c>
      <c r="F158" t="s">
        <v>286</v>
      </c>
      <c r="G158">
        <v>91</v>
      </c>
      <c r="H158"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1"/>
  <sheetViews>
    <sheetView topLeftCell="F1" workbookViewId="0">
      <selection activeCell="M2" sqref="M2"/>
    </sheetView>
  </sheetViews>
  <sheetFormatPr defaultRowHeight="15" x14ac:dyDescent="0.25"/>
  <cols>
    <col min="2" max="2" width="11.140625" bestFit="1" customWidth="1"/>
    <col min="3" max="3" width="10.7109375" bestFit="1" customWidth="1"/>
    <col min="4" max="4" width="21.85546875" bestFit="1" customWidth="1"/>
    <col min="5" max="5" width="14.85546875" bestFit="1" customWidth="1"/>
    <col min="6" max="6" width="22.5703125" bestFit="1" customWidth="1"/>
    <col min="7" max="7" width="18.28515625" style="4" bestFit="1" customWidth="1"/>
    <col min="8" max="8" width="14.28515625" style="4" customWidth="1"/>
    <col min="9" max="9" width="11.140625" style="8" bestFit="1" customWidth="1"/>
    <col min="10" max="10" width="10.5703125" bestFit="1" customWidth="1"/>
    <col min="11" max="11" width="18.42578125" bestFit="1" customWidth="1"/>
    <col min="12" max="12" width="19.5703125" bestFit="1" customWidth="1"/>
    <col min="13" max="13" width="17" bestFit="1" customWidth="1"/>
    <col min="14" max="14" width="15.5703125" style="8" bestFit="1" customWidth="1"/>
    <col min="17" max="17" width="16.85546875" bestFit="1" customWidth="1"/>
    <col min="18" max="18" width="13.85546875" bestFit="1" customWidth="1"/>
    <col min="19" max="19" width="16.85546875" bestFit="1" customWidth="1"/>
    <col min="20" max="20" width="11" customWidth="1"/>
  </cols>
  <sheetData>
    <row r="1" spans="1:20" x14ac:dyDescent="0.25">
      <c r="A1" s="1" t="s">
        <v>0</v>
      </c>
      <c r="B1" s="1" t="s">
        <v>1</v>
      </c>
      <c r="C1" s="1" t="s">
        <v>2</v>
      </c>
      <c r="D1" s="1" t="s">
        <v>311</v>
      </c>
      <c r="E1" s="1" t="s">
        <v>3</v>
      </c>
      <c r="F1" s="1" t="s">
        <v>312</v>
      </c>
      <c r="G1" s="3" t="s">
        <v>4</v>
      </c>
      <c r="H1" s="12" t="s">
        <v>313</v>
      </c>
      <c r="I1" s="9" t="s">
        <v>5</v>
      </c>
      <c r="J1" s="1" t="s">
        <v>6</v>
      </c>
      <c r="K1" s="6" t="s">
        <v>7</v>
      </c>
      <c r="L1" s="6" t="s">
        <v>314</v>
      </c>
      <c r="M1" s="6" t="s">
        <v>322</v>
      </c>
      <c r="N1" s="9" t="s">
        <v>315</v>
      </c>
    </row>
    <row r="2" spans="1:20" x14ac:dyDescent="0.25">
      <c r="A2" t="s">
        <v>8</v>
      </c>
      <c r="B2" t="s">
        <v>9</v>
      </c>
      <c r="C2" t="s">
        <v>10</v>
      </c>
      <c r="D2" t="str">
        <f>_xlfn.TEXTJOIN(" ",TRUE,B2,C2)</f>
        <v>Emily Brown</v>
      </c>
      <c r="E2" t="s">
        <v>11</v>
      </c>
      <c r="F2" t="str">
        <f>_xlfn.XLOOKUP(E2,Lookup_Departments!$A$2:$A$7,Lookup_Departments!$B$2:$B$7)</f>
        <v>Information Technology</v>
      </c>
      <c r="G2" s="4">
        <v>43093</v>
      </c>
      <c r="H2" s="11">
        <v>8</v>
      </c>
      <c r="I2" s="8">
        <v>50361</v>
      </c>
      <c r="J2">
        <v>52</v>
      </c>
      <c r="K2" t="s">
        <v>45</v>
      </c>
      <c r="L2" t="str" cm="1">
        <f t="array" ref="L2">_xlfn.IFS(J2&lt;=49,"Needs Improvement",J2&lt;=69,"Developing",J2&lt;=84,"Achieving",J2&lt;=94,"Exceeding",J2&lt;=100,"Outstanding")</f>
        <v>Developing</v>
      </c>
      <c r="M2" s="13">
        <f>_xlfn.XLOOKUP(Transformed_Raw_Employee_Data!L2,Lookup_Performance!$C$2:$C$6,Lookup_Performance!$D$2:$D$6)</f>
        <v>0.02</v>
      </c>
      <c r="N2" s="8">
        <f>I2*M2</f>
        <v>1007.22</v>
      </c>
    </row>
    <row r="3" spans="1:20" x14ac:dyDescent="0.25">
      <c r="A3" t="s">
        <v>13</v>
      </c>
      <c r="B3" t="s">
        <v>14</v>
      </c>
      <c r="C3" t="s">
        <v>15</v>
      </c>
      <c r="D3" t="str">
        <f t="shared" ref="D3:D66" si="0">_xlfn.TEXTJOIN(" ",TRUE,B3,C3)</f>
        <v>Richard Hernandez</v>
      </c>
      <c r="E3" t="s">
        <v>16</v>
      </c>
      <c r="F3" t="str">
        <f>_xlfn.XLOOKUP(E3,Lookup_Departments!$A$2:$A$7,Lookup_Departments!$B$2:$B$7)</f>
        <v>Marketing</v>
      </c>
      <c r="G3" s="4">
        <v>44777</v>
      </c>
      <c r="H3" s="11">
        <v>3</v>
      </c>
      <c r="I3" s="8">
        <v>112673</v>
      </c>
      <c r="J3" s="11">
        <v>62.473684210526315</v>
      </c>
      <c r="K3" t="s">
        <v>45</v>
      </c>
      <c r="L3" t="str" cm="1">
        <f t="array" ref="L3">_xlfn.IFS(J3&lt;=49,"Needs Improvement",J3&lt;=69,"Developing",J3&lt;=84,"Achieving",J3&lt;=94,"Exceeding",J3&lt;=100,"Outstanding")</f>
        <v>Developing</v>
      </c>
      <c r="M3" s="13">
        <f>_xlfn.XLOOKUP(Transformed_Raw_Employee_Data!L3,Lookup_Performance!$C$2:$C$6,Lookup_Performance!$D$2:$D$6)</f>
        <v>0.02</v>
      </c>
      <c r="N3" s="8">
        <f t="shared" ref="N3:N66" si="1">I3*M3</f>
        <v>2253.46</v>
      </c>
    </row>
    <row r="4" spans="1:20" x14ac:dyDescent="0.25">
      <c r="A4" t="s">
        <v>18</v>
      </c>
      <c r="B4" t="s">
        <v>9</v>
      </c>
      <c r="C4" t="s">
        <v>19</v>
      </c>
      <c r="D4" t="str">
        <f t="shared" si="0"/>
        <v>Emily Gonzalez</v>
      </c>
      <c r="E4" t="s">
        <v>11</v>
      </c>
      <c r="F4" t="str">
        <f>_xlfn.XLOOKUP(E4,Lookup_Departments!$A$2:$A$7,Lookup_Departments!$B$2:$B$7)</f>
        <v>Information Technology</v>
      </c>
      <c r="G4" s="4">
        <v>42403</v>
      </c>
      <c r="H4" s="11">
        <v>10</v>
      </c>
      <c r="I4" s="8">
        <v>114425</v>
      </c>
      <c r="J4">
        <v>54</v>
      </c>
      <c r="K4" t="s">
        <v>30</v>
      </c>
      <c r="L4" t="str" cm="1">
        <f t="array" ref="L4">_xlfn.IFS(J4&lt;=49,"Needs Improvement",J4&lt;=69,"Developing",J4&lt;=84,"Achieving",J4&lt;=94,"Exceeding",J4&lt;=100,"Outstanding")</f>
        <v>Developing</v>
      </c>
      <c r="M4" s="13">
        <f>_xlfn.XLOOKUP(Transformed_Raw_Employee_Data!L4,Lookup_Performance!$C$2:$C$6,Lookup_Performance!$D$2:$D$6)</f>
        <v>0.02</v>
      </c>
      <c r="N4" s="8">
        <f t="shared" si="1"/>
        <v>2288.5</v>
      </c>
    </row>
    <row r="5" spans="1:20" x14ac:dyDescent="0.25">
      <c r="A5" t="s">
        <v>23</v>
      </c>
      <c r="B5" t="s">
        <v>24</v>
      </c>
      <c r="C5" t="s">
        <v>25</v>
      </c>
      <c r="D5" t="str">
        <f t="shared" si="0"/>
        <v>John Martinez</v>
      </c>
      <c r="E5" t="s">
        <v>26</v>
      </c>
      <c r="F5" t="str">
        <f>_xlfn.XLOOKUP(E5,Lookup_Departments!$A$2:$A$7,Lookup_Departments!$B$2:$B$7)</f>
        <v>Finance</v>
      </c>
      <c r="G5" s="4">
        <v>44992</v>
      </c>
      <c r="H5" s="11">
        <v>3</v>
      </c>
      <c r="I5" s="8">
        <v>103831</v>
      </c>
      <c r="J5">
        <v>70</v>
      </c>
      <c r="K5" t="s">
        <v>45</v>
      </c>
      <c r="L5" t="str" cm="1">
        <f t="array" ref="L5">_xlfn.IFS(J5&lt;=49,"Needs Improvement",J5&lt;=69,"Developing",J5&lt;=84,"Achieving",J5&lt;=94,"Exceeding",J5&lt;=100,"Outstanding")</f>
        <v>Achieving</v>
      </c>
      <c r="M5" s="13">
        <f>_xlfn.XLOOKUP(Transformed_Raw_Employee_Data!L5,Lookup_Performance!$C$2:$C$6,Lookup_Performance!$D$2:$D$6)</f>
        <v>0.05</v>
      </c>
      <c r="N5" s="8">
        <f t="shared" si="1"/>
        <v>5191.55</v>
      </c>
    </row>
    <row r="6" spans="1:20" x14ac:dyDescent="0.25">
      <c r="A6" t="s">
        <v>27</v>
      </c>
      <c r="B6" t="s">
        <v>28</v>
      </c>
      <c r="C6" t="s">
        <v>29</v>
      </c>
      <c r="D6" t="str">
        <f t="shared" si="0"/>
        <v>Thomas Smith</v>
      </c>
      <c r="E6" t="s">
        <v>11</v>
      </c>
      <c r="F6" t="str">
        <f>_xlfn.XLOOKUP(E6,Lookup_Departments!$A$2:$A$7,Lookup_Departments!$B$2:$B$7)</f>
        <v>Information Technology</v>
      </c>
      <c r="G6" s="4">
        <v>44977</v>
      </c>
      <c r="H6" s="11">
        <v>3</v>
      </c>
      <c r="I6" s="8">
        <v>73785</v>
      </c>
      <c r="J6">
        <v>40</v>
      </c>
      <c r="K6" t="s">
        <v>30</v>
      </c>
      <c r="L6" t="str" cm="1">
        <f t="array" ref="L6">_xlfn.IFS(J6&lt;=49,"Needs Improvement",J6&lt;=69,"Developing",J6&lt;=84,"Achieving",J6&lt;=94,"Exceeding",J6&lt;=100,"Outstanding")</f>
        <v>Needs Improvement</v>
      </c>
      <c r="M6" s="13">
        <f>_xlfn.XLOOKUP(Transformed_Raw_Employee_Data!L6,Lookup_Performance!$C$2:$C$6,Lookup_Performance!$D$2:$D$6)</f>
        <v>0</v>
      </c>
      <c r="N6" s="8">
        <f t="shared" si="1"/>
        <v>0</v>
      </c>
      <c r="R6" s="6" t="s">
        <v>310</v>
      </c>
    </row>
    <row r="7" spans="1:20" x14ac:dyDescent="0.25">
      <c r="A7" t="s">
        <v>31</v>
      </c>
      <c r="B7" t="s">
        <v>9</v>
      </c>
      <c r="C7" t="s">
        <v>32</v>
      </c>
      <c r="D7" t="str">
        <f t="shared" si="0"/>
        <v>Emily Johnson</v>
      </c>
      <c r="E7" t="s">
        <v>33</v>
      </c>
      <c r="F7" t="str">
        <f>_xlfn.XLOOKUP(E7,Lookup_Departments!$A$2:$A$7,Lookup_Departments!$B$2:$B$7)</f>
        <v>Operations</v>
      </c>
      <c r="G7" s="4">
        <v>43864</v>
      </c>
      <c r="H7" s="11">
        <v>6</v>
      </c>
      <c r="I7" s="8">
        <v>115882</v>
      </c>
      <c r="J7">
        <v>49</v>
      </c>
      <c r="K7" t="s">
        <v>45</v>
      </c>
      <c r="L7" t="str" cm="1">
        <f t="array" ref="L7">_xlfn.IFS(J7&lt;=49,"Needs Improvement",J7&lt;=69,"Developing",J7&lt;=84,"Achieving",J7&lt;=94,"Exceeding",J7&lt;=100,"Outstanding")</f>
        <v>Needs Improvement</v>
      </c>
      <c r="M7" s="13">
        <f>_xlfn.XLOOKUP(Transformed_Raw_Employee_Data!L7,Lookup_Performance!$C$2:$C$6,Lookup_Performance!$D$2:$D$6)</f>
        <v>0</v>
      </c>
      <c r="N7" s="8">
        <f t="shared" si="1"/>
        <v>0</v>
      </c>
      <c r="P7" s="6" t="s">
        <v>304</v>
      </c>
      <c r="Q7" s="6" t="s">
        <v>305</v>
      </c>
      <c r="R7" s="6" t="s">
        <v>306</v>
      </c>
      <c r="S7" s="6" t="s">
        <v>307</v>
      </c>
      <c r="T7" s="6" t="s">
        <v>309</v>
      </c>
    </row>
    <row r="8" spans="1:20" x14ac:dyDescent="0.25">
      <c r="A8" t="s">
        <v>35</v>
      </c>
      <c r="B8" t="s">
        <v>24</v>
      </c>
      <c r="C8" t="s">
        <v>36</v>
      </c>
      <c r="D8" t="str">
        <f t="shared" si="0"/>
        <v>John Wilson</v>
      </c>
      <c r="E8" t="s">
        <v>33</v>
      </c>
      <c r="F8" t="str">
        <f>_xlfn.XLOOKUP(E8,Lookup_Departments!$A$2:$A$7,Lookup_Departments!$B$2:$B$7)</f>
        <v>Operations</v>
      </c>
      <c r="G8" s="4">
        <v>45272</v>
      </c>
      <c r="H8" s="11">
        <v>2</v>
      </c>
      <c r="I8" s="8">
        <v>59980</v>
      </c>
      <c r="J8">
        <v>70</v>
      </c>
      <c r="K8" t="s">
        <v>30</v>
      </c>
      <c r="L8" t="str" cm="1">
        <f t="array" ref="L8">_xlfn.IFS(J8&lt;=49,"Needs Improvement",J8&lt;=69,"Developing",J8&lt;=84,"Achieving",J8&lt;=94,"Exceeding",J8&lt;=100,"Outstanding")</f>
        <v>Achieving</v>
      </c>
      <c r="M8" s="13">
        <f>_xlfn.XLOOKUP(Transformed_Raw_Employee_Data!L8,Lookup_Performance!$C$2:$C$6,Lookup_Performance!$D$2:$D$6)</f>
        <v>0.05</v>
      </c>
      <c r="N8" s="8">
        <f t="shared" si="1"/>
        <v>2999</v>
      </c>
      <c r="P8">
        <f>SUMIF(E2:E151,E2,I2:I151)</f>
        <v>2824947.833333333</v>
      </c>
      <c r="Q8">
        <f>COUNTIF(E2:E151,E2)</f>
        <v>36</v>
      </c>
      <c r="R8" s="5">
        <f t="shared" ref="R8:R13" si="2">P8/Q8</f>
        <v>78470.773148148146</v>
      </c>
      <c r="S8" t="s">
        <v>308</v>
      </c>
      <c r="T8" s="5">
        <v>68901.166666666672</v>
      </c>
    </row>
    <row r="9" spans="1:20" x14ac:dyDescent="0.25">
      <c r="A9" t="s">
        <v>38</v>
      </c>
      <c r="B9" t="s">
        <v>39</v>
      </c>
      <c r="C9" t="s">
        <v>29</v>
      </c>
      <c r="D9" t="str">
        <f t="shared" si="0"/>
        <v>Jessica Smith</v>
      </c>
      <c r="E9" t="s">
        <v>33</v>
      </c>
      <c r="F9" t="str">
        <f>_xlfn.XLOOKUP(E9,Lookup_Departments!$A$2:$A$7,Lookup_Departments!$B$2:$B$7)</f>
        <v>Operations</v>
      </c>
      <c r="G9" s="4">
        <v>44086</v>
      </c>
      <c r="H9" s="11">
        <v>5</v>
      </c>
      <c r="I9" s="8">
        <v>68728</v>
      </c>
      <c r="J9">
        <v>45</v>
      </c>
      <c r="K9" t="s">
        <v>45</v>
      </c>
      <c r="L9" t="str" cm="1">
        <f t="array" ref="L9">_xlfn.IFS(J9&lt;=49,"Needs Improvement",J9&lt;=69,"Developing",J9&lt;=84,"Achieving",J9&lt;=94,"Exceeding",J9&lt;=100,"Outstanding")</f>
        <v>Needs Improvement</v>
      </c>
      <c r="M9" s="13">
        <f>_xlfn.XLOOKUP(Transformed_Raw_Employee_Data!L9,Lookup_Performance!$C$2:$C$6,Lookup_Performance!$D$2:$D$6)</f>
        <v>0</v>
      </c>
      <c r="N9" s="8">
        <f t="shared" si="1"/>
        <v>0</v>
      </c>
      <c r="P9">
        <f>SUMIF(E2:E151,E3,I2:I151)</f>
        <v>1620154.7368421052</v>
      </c>
      <c r="Q9">
        <f>COUNTIF(E2:E151,E3)</f>
        <v>19</v>
      </c>
      <c r="R9" s="5">
        <f t="shared" si="2"/>
        <v>85271.301939058161</v>
      </c>
      <c r="S9" t="s">
        <v>292</v>
      </c>
      <c r="T9" s="5">
        <v>81007.736842105267</v>
      </c>
    </row>
    <row r="10" spans="1:20" x14ac:dyDescent="0.25">
      <c r="A10" t="s">
        <v>40</v>
      </c>
      <c r="C10" t="s">
        <v>41</v>
      </c>
      <c r="D10" t="str">
        <f t="shared" si="0"/>
        <v>Rodriguez</v>
      </c>
      <c r="E10" t="s">
        <v>26</v>
      </c>
      <c r="F10" t="str">
        <f>_xlfn.XLOOKUP(E10,Lookup_Departments!$A$2:$A$7,Lookup_Departments!$B$2:$B$7)</f>
        <v>Finance</v>
      </c>
      <c r="G10" s="4">
        <v>43282</v>
      </c>
      <c r="H10" s="11">
        <v>8</v>
      </c>
      <c r="I10" s="8">
        <v>102139</v>
      </c>
      <c r="J10">
        <v>79</v>
      </c>
      <c r="K10" t="s">
        <v>45</v>
      </c>
      <c r="L10" t="str" cm="1">
        <f t="array" ref="L10">_xlfn.IFS(J10&lt;=49,"Needs Improvement",J10&lt;=69,"Developing",J10&lt;=84,"Achieving",J10&lt;=94,"Exceeding",J10&lt;=100,"Outstanding")</f>
        <v>Achieving</v>
      </c>
      <c r="M10" s="13">
        <f>_xlfn.XLOOKUP(Transformed_Raw_Employee_Data!L10,Lookup_Performance!$C$2:$C$6,Lookup_Performance!$D$2:$D$6)</f>
        <v>0.05</v>
      </c>
      <c r="N10" s="8">
        <f t="shared" si="1"/>
        <v>5106.9500000000007</v>
      </c>
      <c r="P10">
        <f>SUMIF(E2:E151,E5,I2:I151)</f>
        <v>1448398.8235294118</v>
      </c>
      <c r="Q10">
        <f>COUNTIF(E2:E151,E5)</f>
        <v>17</v>
      </c>
      <c r="R10" s="5">
        <f t="shared" si="2"/>
        <v>85199.930795847758</v>
      </c>
      <c r="S10" t="s">
        <v>291</v>
      </c>
      <c r="T10" s="5">
        <v>72419.941176470587</v>
      </c>
    </row>
    <row r="11" spans="1:20" x14ac:dyDescent="0.25">
      <c r="A11" t="s">
        <v>42</v>
      </c>
      <c r="B11" t="s">
        <v>43</v>
      </c>
      <c r="C11" t="s">
        <v>25</v>
      </c>
      <c r="D11" t="str">
        <f t="shared" si="0"/>
        <v>Michael Martinez</v>
      </c>
      <c r="E11" t="s">
        <v>44</v>
      </c>
      <c r="F11" t="str">
        <f>_xlfn.XLOOKUP(E11,Lookup_Departments!$A$2:$A$7,Lookup_Departments!$B$2:$B$7)</f>
        <v>Sales</v>
      </c>
      <c r="G11" s="4">
        <v>42411</v>
      </c>
      <c r="H11" s="11">
        <v>10</v>
      </c>
      <c r="I11" s="8">
        <v>94998</v>
      </c>
      <c r="J11">
        <v>58</v>
      </c>
      <c r="K11" t="s">
        <v>45</v>
      </c>
      <c r="L11" t="str" cm="1">
        <f t="array" ref="L11">_xlfn.IFS(J11&lt;=49,"Needs Improvement",J11&lt;=69,"Developing",J11&lt;=84,"Achieving",J11&lt;=94,"Exceeding",J11&lt;=100,"Outstanding")</f>
        <v>Developing</v>
      </c>
      <c r="M11" s="13">
        <f>_xlfn.XLOOKUP(Transformed_Raw_Employee_Data!L11,Lookup_Performance!$C$2:$C$6,Lookup_Performance!$D$2:$D$6)</f>
        <v>0.02</v>
      </c>
      <c r="N11" s="8">
        <f t="shared" si="1"/>
        <v>1899.96</v>
      </c>
      <c r="P11">
        <f>SUMIF(E2:E151,E7,I2:I151)</f>
        <v>2302808.2758620689</v>
      </c>
      <c r="Q11">
        <f>COUNTIF(E2:E151,E7)</f>
        <v>29</v>
      </c>
      <c r="R11" s="5">
        <f t="shared" si="2"/>
        <v>79407.181926278237</v>
      </c>
      <c r="S11" t="s">
        <v>294</v>
      </c>
      <c r="T11" s="5">
        <v>74284.137931034478</v>
      </c>
    </row>
    <row r="12" spans="1:20" x14ac:dyDescent="0.25">
      <c r="A12" t="s">
        <v>46</v>
      </c>
      <c r="B12" t="s">
        <v>9</v>
      </c>
      <c r="C12" t="s">
        <v>47</v>
      </c>
      <c r="D12" t="str">
        <f t="shared" si="0"/>
        <v>Emily Miller</v>
      </c>
      <c r="E12" t="s">
        <v>44</v>
      </c>
      <c r="F12" t="str">
        <f>_xlfn.XLOOKUP(E12,Lookup_Departments!$A$2:$A$7,Lookup_Departments!$B$2:$B$7)</f>
        <v>Sales</v>
      </c>
      <c r="G12" s="4">
        <v>43911</v>
      </c>
      <c r="H12" s="11">
        <v>6</v>
      </c>
      <c r="I12" s="8">
        <v>118635</v>
      </c>
      <c r="J12">
        <v>49</v>
      </c>
      <c r="K12" t="s">
        <v>45</v>
      </c>
      <c r="L12" t="str" cm="1">
        <f t="array" ref="L12">_xlfn.IFS(J12&lt;=49,"Needs Improvement",J12&lt;=69,"Developing",J12&lt;=84,"Achieving",J12&lt;=94,"Exceeding",J12&lt;=100,"Outstanding")</f>
        <v>Needs Improvement</v>
      </c>
      <c r="M12" s="13">
        <f>_xlfn.XLOOKUP(Transformed_Raw_Employee_Data!L12,Lookup_Performance!$C$2:$C$6,Lookup_Performance!$D$2:$D$6)</f>
        <v>0</v>
      </c>
      <c r="N12" s="8">
        <f t="shared" si="1"/>
        <v>0</v>
      </c>
      <c r="P12">
        <f>SUMIF(E2:E151,E11,I2:I151)</f>
        <v>2525556.9677419355</v>
      </c>
      <c r="Q12">
        <f>COUNTIF(E2:E151,E11)</f>
        <v>31</v>
      </c>
      <c r="R12" s="5">
        <f t="shared" si="2"/>
        <v>81469.579604578568</v>
      </c>
      <c r="S12" t="s">
        <v>293</v>
      </c>
      <c r="T12" s="5">
        <v>64757.870967741932</v>
      </c>
    </row>
    <row r="13" spans="1:20" x14ac:dyDescent="0.25">
      <c r="A13" t="s">
        <v>50</v>
      </c>
      <c r="B13" t="s">
        <v>9</v>
      </c>
      <c r="C13" t="s">
        <v>15</v>
      </c>
      <c r="D13" t="str">
        <f t="shared" si="0"/>
        <v>Emily Hernandez</v>
      </c>
      <c r="E13" t="s">
        <v>11</v>
      </c>
      <c r="F13" t="str">
        <f>_xlfn.XLOOKUP(E13,Lookup_Departments!$A$2:$A$7,Lookup_Departments!$B$2:$B$7)</f>
        <v>Information Technology</v>
      </c>
      <c r="G13" s="4">
        <v>42425</v>
      </c>
      <c r="H13" s="11">
        <v>10</v>
      </c>
      <c r="I13" s="8">
        <v>76918</v>
      </c>
      <c r="J13">
        <v>62</v>
      </c>
      <c r="K13" t="s">
        <v>45</v>
      </c>
      <c r="L13" t="str" cm="1">
        <f t="array" ref="L13">_xlfn.IFS(J13&lt;=49,"Needs Improvement",J13&lt;=69,"Developing",J13&lt;=84,"Achieving",J13&lt;=94,"Exceeding",J13&lt;=100,"Outstanding")</f>
        <v>Developing</v>
      </c>
      <c r="M13" s="13">
        <f>_xlfn.XLOOKUP(Transformed_Raw_Employee_Data!L13,Lookup_Performance!$C$2:$C$6,Lookup_Performance!$D$2:$D$6)</f>
        <v>0.02</v>
      </c>
      <c r="N13" s="8">
        <f t="shared" si="1"/>
        <v>1538.3600000000001</v>
      </c>
      <c r="P13">
        <f>SUMIF(E2:E151,E35,I2:I151)</f>
        <v>1536940.611111111</v>
      </c>
      <c r="Q13">
        <f>COUNTIF(E2:E151,E35)</f>
        <v>18</v>
      </c>
      <c r="R13" s="5">
        <f t="shared" si="2"/>
        <v>85385.589506172837</v>
      </c>
      <c r="S13" t="s">
        <v>289</v>
      </c>
      <c r="T13" s="5">
        <v>80891.611111111109</v>
      </c>
    </row>
    <row r="14" spans="1:20" x14ac:dyDescent="0.25">
      <c r="A14" t="s">
        <v>52</v>
      </c>
      <c r="B14" t="s">
        <v>53</v>
      </c>
      <c r="C14" t="s">
        <v>54</v>
      </c>
      <c r="D14" t="str">
        <f t="shared" si="0"/>
        <v>Jane Williams</v>
      </c>
      <c r="E14" t="s">
        <v>16</v>
      </c>
      <c r="F14" t="str">
        <f>_xlfn.XLOOKUP(E14,Lookup_Departments!$A$2:$A$7,Lookup_Departments!$B$2:$B$7)</f>
        <v>Marketing</v>
      </c>
      <c r="G14" s="4">
        <v>44364</v>
      </c>
      <c r="H14" s="11">
        <v>5</v>
      </c>
      <c r="I14" s="8">
        <v>61408</v>
      </c>
      <c r="J14">
        <v>48</v>
      </c>
      <c r="K14" t="s">
        <v>45</v>
      </c>
      <c r="L14" t="str" cm="1">
        <f t="array" ref="L14">_xlfn.IFS(J14&lt;=49,"Needs Improvement",J14&lt;=69,"Developing",J14&lt;=84,"Achieving",J14&lt;=94,"Exceeding",J14&lt;=100,"Outstanding")</f>
        <v>Needs Improvement</v>
      </c>
      <c r="M14" s="13">
        <f>_xlfn.XLOOKUP(Transformed_Raw_Employee_Data!L14,Lookup_Performance!$C$2:$C$6,Lookup_Performance!$D$2:$D$6)</f>
        <v>0</v>
      </c>
      <c r="N14" s="8">
        <f t="shared" si="1"/>
        <v>0</v>
      </c>
    </row>
    <row r="15" spans="1:20" x14ac:dyDescent="0.25">
      <c r="A15" t="s">
        <v>57</v>
      </c>
      <c r="B15" t="s">
        <v>53</v>
      </c>
      <c r="C15" t="s">
        <v>47</v>
      </c>
      <c r="D15" t="str">
        <f t="shared" si="0"/>
        <v>Jane Miller</v>
      </c>
      <c r="E15" t="s">
        <v>16</v>
      </c>
      <c r="F15" t="str">
        <f>_xlfn.XLOOKUP(E15,Lookup_Departments!$A$2:$A$7,Lookup_Departments!$B$2:$B$7)</f>
        <v>Marketing</v>
      </c>
      <c r="G15" s="4">
        <v>44001</v>
      </c>
      <c r="H15" s="11">
        <v>6</v>
      </c>
      <c r="I15" s="8">
        <v>99990</v>
      </c>
      <c r="J15">
        <v>54</v>
      </c>
      <c r="K15" t="s">
        <v>45</v>
      </c>
      <c r="L15" t="str" cm="1">
        <f t="array" ref="L15">_xlfn.IFS(J15&lt;=49,"Needs Improvement",J15&lt;=69,"Developing",J15&lt;=84,"Achieving",J15&lt;=94,"Exceeding",J15&lt;=100,"Outstanding")</f>
        <v>Developing</v>
      </c>
      <c r="M15" s="13">
        <f>_xlfn.XLOOKUP(Transformed_Raw_Employee_Data!L15,Lookup_Performance!$C$2:$C$6,Lookup_Performance!$D$2:$D$6)</f>
        <v>0.02</v>
      </c>
      <c r="N15" s="8">
        <f t="shared" si="1"/>
        <v>1999.8</v>
      </c>
      <c r="R15" s="6" t="s">
        <v>316</v>
      </c>
    </row>
    <row r="16" spans="1:20" x14ac:dyDescent="0.25">
      <c r="A16" t="s">
        <v>58</v>
      </c>
      <c r="B16" t="s">
        <v>59</v>
      </c>
      <c r="C16" t="s">
        <v>60</v>
      </c>
      <c r="D16" t="str">
        <f t="shared" si="0"/>
        <v>Robert Jones</v>
      </c>
      <c r="E16" t="s">
        <v>16</v>
      </c>
      <c r="F16" t="str">
        <f>_xlfn.XLOOKUP(E16,Lookup_Departments!$A$2:$A$7,Lookup_Departments!$B$2:$B$7)</f>
        <v>Marketing</v>
      </c>
      <c r="G16" s="4">
        <v>43820</v>
      </c>
      <c r="H16" s="11">
        <v>6</v>
      </c>
      <c r="I16" s="8">
        <v>80385</v>
      </c>
      <c r="J16" s="11">
        <v>62.473684210526315</v>
      </c>
      <c r="K16" t="s">
        <v>45</v>
      </c>
      <c r="L16" t="str" cm="1">
        <f t="array" ref="L16">_xlfn.IFS(J16&lt;=49,"Needs Improvement",J16&lt;=69,"Developing",J16&lt;=84,"Achieving",J16&lt;=94,"Exceeding",J16&lt;=100,"Outstanding")</f>
        <v>Developing</v>
      </c>
      <c r="M16" s="13">
        <f>_xlfn.XLOOKUP(Transformed_Raw_Employee_Data!L16,Lookup_Performance!$C$2:$C$6,Lookup_Performance!$D$2:$D$6)</f>
        <v>0.02</v>
      </c>
      <c r="N16" s="8">
        <f t="shared" si="1"/>
        <v>1607.7</v>
      </c>
      <c r="P16" s="6" t="s">
        <v>304</v>
      </c>
      <c r="Q16" s="6" t="s">
        <v>305</v>
      </c>
      <c r="R16" s="6" t="s">
        <v>306</v>
      </c>
      <c r="S16" s="6" t="s">
        <v>307</v>
      </c>
    </row>
    <row r="17" spans="1:19" x14ac:dyDescent="0.25">
      <c r="A17" t="s">
        <v>62</v>
      </c>
      <c r="B17" t="s">
        <v>28</v>
      </c>
      <c r="C17" t="s">
        <v>41</v>
      </c>
      <c r="D17" t="str">
        <f t="shared" si="0"/>
        <v>Thomas Rodriguez</v>
      </c>
      <c r="E17" t="s">
        <v>44</v>
      </c>
      <c r="F17" t="str">
        <f>_xlfn.XLOOKUP(E17,Lookup_Departments!$A$2:$A$7,Lookup_Departments!$B$2:$B$7)</f>
        <v>Sales</v>
      </c>
      <c r="G17" s="4">
        <v>45169</v>
      </c>
      <c r="H17" s="11">
        <v>2</v>
      </c>
      <c r="I17" s="8">
        <v>65290</v>
      </c>
      <c r="J17">
        <v>77</v>
      </c>
      <c r="K17" t="s">
        <v>45</v>
      </c>
      <c r="L17" t="str" cm="1">
        <f t="array" ref="L17">_xlfn.IFS(J17&lt;=49,"Needs Improvement",J17&lt;=69,"Developing",J17&lt;=84,"Achieving",J17&lt;=94,"Exceeding",J17&lt;=100,"Outstanding")</f>
        <v>Achieving</v>
      </c>
      <c r="M17" s="13">
        <f>_xlfn.XLOOKUP(Transformed_Raw_Employee_Data!L17,Lookup_Performance!$C$2:$C$6,Lookup_Performance!$D$2:$D$6)</f>
        <v>0.05</v>
      </c>
      <c r="N17" s="8">
        <f t="shared" si="1"/>
        <v>3264.5</v>
      </c>
      <c r="P17">
        <f>SUMIF(E2:E151,E2,J2:J151)</f>
        <v>2349.5</v>
      </c>
      <c r="Q17" s="10">
        <f>COUNTIF(E2:E151,E2)</f>
        <v>36</v>
      </c>
      <c r="R17" s="11">
        <f t="shared" ref="R17:R22" si="3">P17/Q17</f>
        <v>65.263888888888886</v>
      </c>
      <c r="S17" t="s">
        <v>308</v>
      </c>
    </row>
    <row r="18" spans="1:19" x14ac:dyDescent="0.25">
      <c r="A18" t="s">
        <v>63</v>
      </c>
      <c r="B18" t="s">
        <v>9</v>
      </c>
      <c r="C18" t="s">
        <v>64</v>
      </c>
      <c r="D18" t="str">
        <f t="shared" si="0"/>
        <v>Emily Davis</v>
      </c>
      <c r="E18" t="s">
        <v>11</v>
      </c>
      <c r="F18" t="str">
        <f>_xlfn.XLOOKUP(E18,Lookup_Departments!$A$2:$A$7,Lookup_Departments!$B$2:$B$7)</f>
        <v>Information Technology</v>
      </c>
      <c r="G18" s="4">
        <v>42337</v>
      </c>
      <c r="H18" s="11">
        <v>10</v>
      </c>
      <c r="I18" s="8">
        <v>105765</v>
      </c>
      <c r="J18">
        <v>42</v>
      </c>
      <c r="K18" t="s">
        <v>45</v>
      </c>
      <c r="L18" t="str" cm="1">
        <f t="array" ref="L18">_xlfn.IFS(J18&lt;=49,"Needs Improvement",J18&lt;=69,"Developing",J18&lt;=84,"Achieving",J18&lt;=94,"Exceeding",J18&lt;=100,"Outstanding")</f>
        <v>Needs Improvement</v>
      </c>
      <c r="M18" s="13">
        <f>_xlfn.XLOOKUP(Transformed_Raw_Employee_Data!L18,Lookup_Performance!$C$2:$C$6,Lookup_Performance!$D$2:$D$6)</f>
        <v>0</v>
      </c>
      <c r="N18" s="8">
        <f t="shared" si="1"/>
        <v>0</v>
      </c>
      <c r="P18">
        <f>SUMIF(E2:E151,E3,J2:J151)</f>
        <v>1374.421052631579</v>
      </c>
      <c r="Q18">
        <f>COUNTIF(E2:E151,E3)</f>
        <v>19</v>
      </c>
      <c r="R18" s="11">
        <f t="shared" si="3"/>
        <v>72.337950138504155</v>
      </c>
      <c r="S18" t="s">
        <v>292</v>
      </c>
    </row>
    <row r="19" spans="1:19" x14ac:dyDescent="0.25">
      <c r="A19" t="s">
        <v>65</v>
      </c>
      <c r="B19" t="s">
        <v>66</v>
      </c>
      <c r="C19" t="s">
        <v>25</v>
      </c>
      <c r="D19" t="str">
        <f t="shared" si="0"/>
        <v>James Martinez</v>
      </c>
      <c r="E19" t="s">
        <v>44</v>
      </c>
      <c r="F19" t="str">
        <f>_xlfn.XLOOKUP(E19,Lookup_Departments!$A$2:$A$7,Lookup_Departments!$B$2:$B$7)</f>
        <v>Sales</v>
      </c>
      <c r="G19" s="4">
        <v>42899</v>
      </c>
      <c r="H19" s="11">
        <v>9</v>
      </c>
      <c r="I19" s="8">
        <v>102921</v>
      </c>
      <c r="J19">
        <v>49</v>
      </c>
      <c r="K19" t="s">
        <v>45</v>
      </c>
      <c r="L19" t="str" cm="1">
        <f t="array" ref="L19">_xlfn.IFS(J19&lt;=49,"Needs Improvement",J19&lt;=69,"Developing",J19&lt;=84,"Achieving",J19&lt;=94,"Exceeding",J19&lt;=100,"Outstanding")</f>
        <v>Needs Improvement</v>
      </c>
      <c r="M19" s="13">
        <f>_xlfn.XLOOKUP(Transformed_Raw_Employee_Data!L19,Lookup_Performance!$C$2:$C$6,Lookup_Performance!$D$2:$D$6)</f>
        <v>0</v>
      </c>
      <c r="N19" s="8">
        <f t="shared" si="1"/>
        <v>0</v>
      </c>
      <c r="P19">
        <f>SUMIF(E2:E151,E5,J2:J151)</f>
        <v>1172</v>
      </c>
      <c r="Q19">
        <f>COUNTIF(E2:E151,E5)</f>
        <v>17</v>
      </c>
      <c r="R19" s="11">
        <f t="shared" si="3"/>
        <v>68.941176470588232</v>
      </c>
      <c r="S19" t="s">
        <v>291</v>
      </c>
    </row>
    <row r="20" spans="1:19" x14ac:dyDescent="0.25">
      <c r="A20" t="s">
        <v>67</v>
      </c>
      <c r="B20" t="s">
        <v>68</v>
      </c>
      <c r="C20" t="s">
        <v>69</v>
      </c>
      <c r="D20" t="str">
        <f t="shared" si="0"/>
        <v>Ashley Lopez</v>
      </c>
      <c r="E20" t="s">
        <v>16</v>
      </c>
      <c r="F20" t="str">
        <f>_xlfn.XLOOKUP(E20,Lookup_Departments!$A$2:$A$7,Lookup_Departments!$B$2:$B$7)</f>
        <v>Marketing</v>
      </c>
      <c r="G20" s="4">
        <v>43235</v>
      </c>
      <c r="H20" s="11">
        <v>8</v>
      </c>
      <c r="I20" s="8">
        <v>73984</v>
      </c>
      <c r="J20">
        <v>93</v>
      </c>
      <c r="K20" t="s">
        <v>45</v>
      </c>
      <c r="L20" t="str" cm="1">
        <f t="array" ref="L20">_xlfn.IFS(J20&lt;=49,"Needs Improvement",J20&lt;=69,"Developing",J20&lt;=84,"Achieving",J20&lt;=94,"Exceeding",J20&lt;=100,"Outstanding")</f>
        <v>Exceeding</v>
      </c>
      <c r="M20" s="13">
        <f>_xlfn.XLOOKUP(Transformed_Raw_Employee_Data!L20,Lookup_Performance!$C$2:$C$6,Lookup_Performance!$D$2:$D$6)</f>
        <v>0.08</v>
      </c>
      <c r="N20" s="8">
        <f t="shared" si="1"/>
        <v>5918.72</v>
      </c>
      <c r="P20">
        <f>SUMIF(E2:E151,E7,J2:J151)</f>
        <v>2013</v>
      </c>
      <c r="Q20">
        <f>COUNTIF(E2:E151,E7)</f>
        <v>29</v>
      </c>
      <c r="R20" s="11">
        <f t="shared" si="3"/>
        <v>69.41379310344827</v>
      </c>
      <c r="S20" s="7" t="s">
        <v>294</v>
      </c>
    </row>
    <row r="21" spans="1:19" x14ac:dyDescent="0.25">
      <c r="A21" t="s">
        <v>70</v>
      </c>
      <c r="B21" t="s">
        <v>71</v>
      </c>
      <c r="C21" t="s">
        <v>19</v>
      </c>
      <c r="D21" t="str">
        <f t="shared" si="0"/>
        <v>Amanda Gonzalez</v>
      </c>
      <c r="E21" t="s">
        <v>11</v>
      </c>
      <c r="F21" t="str">
        <f>_xlfn.XLOOKUP(E21,Lookup_Departments!$A$2:$A$7,Lookup_Departments!$B$2:$B$7)</f>
        <v>Information Technology</v>
      </c>
      <c r="G21" s="4">
        <v>42575</v>
      </c>
      <c r="H21" s="11">
        <v>9</v>
      </c>
      <c r="I21" s="8">
        <v>68901.166666666701</v>
      </c>
      <c r="J21">
        <v>75</v>
      </c>
      <c r="K21" t="s">
        <v>45</v>
      </c>
      <c r="L21" t="str" cm="1">
        <f t="array" ref="L21">_xlfn.IFS(J21&lt;=49,"Needs Improvement",J21&lt;=69,"Developing",J21&lt;=84,"Achieving",J21&lt;=94,"Exceeding",J21&lt;=100,"Outstanding")</f>
        <v>Achieving</v>
      </c>
      <c r="M21" s="13">
        <f>_xlfn.XLOOKUP(Transformed_Raw_Employee_Data!L21,Lookup_Performance!$C$2:$C$6,Lookup_Performance!$D$2:$D$6)</f>
        <v>0.05</v>
      </c>
      <c r="N21" s="8">
        <f t="shared" si="1"/>
        <v>3445.0583333333352</v>
      </c>
      <c r="P21">
        <f>SUMIF(E2:E151,E11,J2:J151)</f>
        <v>1982</v>
      </c>
      <c r="Q21">
        <f>COUNTIF(E2:E151,E11)</f>
        <v>31</v>
      </c>
      <c r="R21" s="11">
        <f t="shared" si="3"/>
        <v>63.935483870967744</v>
      </c>
      <c r="S21" t="s">
        <v>293</v>
      </c>
    </row>
    <row r="22" spans="1:19" x14ac:dyDescent="0.25">
      <c r="A22" t="s">
        <v>72</v>
      </c>
      <c r="B22" t="s">
        <v>43</v>
      </c>
      <c r="C22" t="s">
        <v>15</v>
      </c>
      <c r="D22" t="str">
        <f t="shared" si="0"/>
        <v>Michael Hernandez</v>
      </c>
      <c r="E22" t="s">
        <v>26</v>
      </c>
      <c r="F22" t="str">
        <f>_xlfn.XLOOKUP(E22,Lookup_Departments!$A$2:$A$7,Lookup_Departments!$B$2:$B$7)</f>
        <v>Finance</v>
      </c>
      <c r="G22" s="4">
        <v>42928</v>
      </c>
      <c r="H22" s="11">
        <v>8</v>
      </c>
      <c r="I22" s="8">
        <v>118527</v>
      </c>
      <c r="J22">
        <v>50</v>
      </c>
      <c r="K22" t="s">
        <v>45</v>
      </c>
      <c r="L22" t="str" cm="1">
        <f t="array" ref="L22">_xlfn.IFS(J22&lt;=49,"Needs Improvement",J22&lt;=69,"Developing",J22&lt;=84,"Achieving",J22&lt;=94,"Exceeding",J22&lt;=100,"Outstanding")</f>
        <v>Developing</v>
      </c>
      <c r="M22" s="13">
        <f>_xlfn.XLOOKUP(Transformed_Raw_Employee_Data!L22,Lookup_Performance!$C$2:$C$6,Lookup_Performance!$D$2:$D$6)</f>
        <v>0.02</v>
      </c>
      <c r="N22" s="8">
        <f t="shared" si="1"/>
        <v>2370.54</v>
      </c>
      <c r="P22">
        <f>SUMIF(E2:E151,E35,J2:J151)</f>
        <v>1278</v>
      </c>
      <c r="Q22">
        <f>COUNTIF(E2:E151,E35)</f>
        <v>18</v>
      </c>
      <c r="R22" s="11">
        <f t="shared" si="3"/>
        <v>71</v>
      </c>
      <c r="S22" t="s">
        <v>289</v>
      </c>
    </row>
    <row r="23" spans="1:19" x14ac:dyDescent="0.25">
      <c r="A23" t="s">
        <v>73</v>
      </c>
      <c r="B23" t="s">
        <v>14</v>
      </c>
      <c r="C23" t="s">
        <v>15</v>
      </c>
      <c r="D23" t="str">
        <f t="shared" si="0"/>
        <v>Richard Hernandez</v>
      </c>
      <c r="E23" t="s">
        <v>16</v>
      </c>
      <c r="F23" t="str">
        <f>_xlfn.XLOOKUP(E23,Lookup_Departments!$A$2:$A$7,Lookup_Departments!$B$2:$B$7)</f>
        <v>Marketing</v>
      </c>
      <c r="G23" s="4">
        <v>44353</v>
      </c>
      <c r="H23" s="11">
        <v>5</v>
      </c>
      <c r="I23" s="8">
        <v>107871</v>
      </c>
      <c r="J23">
        <v>88</v>
      </c>
      <c r="K23" t="s">
        <v>45</v>
      </c>
      <c r="L23" t="str" cm="1">
        <f t="array" ref="L23">_xlfn.IFS(J23&lt;=49,"Needs Improvement",J23&lt;=69,"Developing",J23&lt;=84,"Achieving",J23&lt;=94,"Exceeding",J23&lt;=100,"Outstanding")</f>
        <v>Exceeding</v>
      </c>
      <c r="M23" s="13">
        <f>_xlfn.XLOOKUP(Transformed_Raw_Employee_Data!L23,Lookup_Performance!$C$2:$C$6,Lookup_Performance!$D$2:$D$6)</f>
        <v>0.08</v>
      </c>
      <c r="N23" s="8">
        <f t="shared" si="1"/>
        <v>8629.68</v>
      </c>
    </row>
    <row r="24" spans="1:19" x14ac:dyDescent="0.25">
      <c r="A24" t="s">
        <v>74</v>
      </c>
      <c r="B24" t="s">
        <v>43</v>
      </c>
      <c r="C24" t="s">
        <v>41</v>
      </c>
      <c r="D24" t="str">
        <f t="shared" si="0"/>
        <v>Michael Rodriguez</v>
      </c>
      <c r="E24" t="s">
        <v>11</v>
      </c>
      <c r="F24" t="str">
        <f>_xlfn.XLOOKUP(E24,Lookup_Departments!$A$2:$A$7,Lookup_Departments!$B$2:$B$7)</f>
        <v>Information Technology</v>
      </c>
      <c r="G24" s="4">
        <v>44874</v>
      </c>
      <c r="H24" s="11">
        <v>3</v>
      </c>
      <c r="I24" s="8">
        <v>93956</v>
      </c>
      <c r="J24">
        <v>50</v>
      </c>
      <c r="K24" t="s">
        <v>30</v>
      </c>
      <c r="L24" t="str" cm="1">
        <f t="array" ref="L24">_xlfn.IFS(J24&lt;=49,"Needs Improvement",J24&lt;=69,"Developing",J24&lt;=84,"Achieving",J24&lt;=94,"Exceeding",J24&lt;=100,"Outstanding")</f>
        <v>Developing</v>
      </c>
      <c r="M24" s="13">
        <f>_xlfn.XLOOKUP(Transformed_Raw_Employee_Data!L24,Lookup_Performance!$C$2:$C$6,Lookup_Performance!$D$2:$D$6)</f>
        <v>0.02</v>
      </c>
      <c r="N24" s="8">
        <f t="shared" si="1"/>
        <v>1879.1200000000001</v>
      </c>
    </row>
    <row r="25" spans="1:19" x14ac:dyDescent="0.25">
      <c r="A25" t="s">
        <v>75</v>
      </c>
      <c r="B25" t="s">
        <v>39</v>
      </c>
      <c r="C25" t="s">
        <v>32</v>
      </c>
      <c r="D25" t="str">
        <f t="shared" si="0"/>
        <v>Jessica Johnson</v>
      </c>
      <c r="E25" t="s">
        <v>26</v>
      </c>
      <c r="F25" t="str">
        <f>_xlfn.XLOOKUP(E25,Lookup_Departments!$A$2:$A$7,Lookup_Departments!$B$2:$B$7)</f>
        <v>Finance</v>
      </c>
      <c r="G25" s="4">
        <v>42565</v>
      </c>
      <c r="H25" s="11">
        <v>9</v>
      </c>
      <c r="I25" s="8">
        <v>100851</v>
      </c>
      <c r="J25">
        <v>64</v>
      </c>
      <c r="K25" t="s">
        <v>45</v>
      </c>
      <c r="L25" t="str" cm="1">
        <f t="array" ref="L25">_xlfn.IFS(J25&lt;=49,"Needs Improvement",J25&lt;=69,"Developing",J25&lt;=84,"Achieving",J25&lt;=94,"Exceeding",J25&lt;=100,"Outstanding")</f>
        <v>Developing</v>
      </c>
      <c r="M25" s="13">
        <f>_xlfn.XLOOKUP(Transformed_Raw_Employee_Data!L25,Lookup_Performance!$C$2:$C$6,Lookup_Performance!$D$2:$D$6)</f>
        <v>0.02</v>
      </c>
      <c r="N25" s="8">
        <f t="shared" si="1"/>
        <v>2017.02</v>
      </c>
    </row>
    <row r="26" spans="1:19" x14ac:dyDescent="0.25">
      <c r="A26" t="s">
        <v>77</v>
      </c>
      <c r="B26" t="s">
        <v>68</v>
      </c>
      <c r="C26" t="s">
        <v>54</v>
      </c>
      <c r="D26" t="str">
        <f t="shared" si="0"/>
        <v>Ashley Williams</v>
      </c>
      <c r="E26" t="s">
        <v>44</v>
      </c>
      <c r="F26" t="str">
        <f>_xlfn.XLOOKUP(E26,Lookup_Departments!$A$2:$A$7,Lookup_Departments!$B$2:$B$7)</f>
        <v>Sales</v>
      </c>
      <c r="G26" s="4">
        <v>44728</v>
      </c>
      <c r="H26" s="11">
        <v>4</v>
      </c>
      <c r="I26" s="8">
        <v>68655</v>
      </c>
      <c r="J26">
        <v>32</v>
      </c>
      <c r="K26" t="s">
        <v>45</v>
      </c>
      <c r="L26" t="str" cm="1">
        <f t="array" ref="L26">_xlfn.IFS(J26&lt;=49,"Needs Improvement",J26&lt;=69,"Developing",J26&lt;=84,"Achieving",J26&lt;=94,"Exceeding",J26&lt;=100,"Outstanding")</f>
        <v>Needs Improvement</v>
      </c>
      <c r="M26" s="13">
        <f>_xlfn.XLOOKUP(Transformed_Raw_Employee_Data!L26,Lookup_Performance!$C$2:$C$6,Lookup_Performance!$D$2:$D$6)</f>
        <v>0</v>
      </c>
      <c r="N26" s="8">
        <f t="shared" si="1"/>
        <v>0</v>
      </c>
    </row>
    <row r="27" spans="1:19" x14ac:dyDescent="0.25">
      <c r="A27" t="s">
        <v>78</v>
      </c>
      <c r="C27" t="s">
        <v>54</v>
      </c>
      <c r="D27" t="str">
        <f t="shared" si="0"/>
        <v>Williams</v>
      </c>
      <c r="E27" t="s">
        <v>44</v>
      </c>
      <c r="F27" t="str">
        <f>_xlfn.XLOOKUP(E27,Lookup_Departments!$A$2:$A$7,Lookup_Departments!$B$2:$B$7)</f>
        <v>Sales</v>
      </c>
      <c r="G27" s="4">
        <v>45134</v>
      </c>
      <c r="H27" s="11">
        <v>2</v>
      </c>
      <c r="I27" s="8">
        <v>81205</v>
      </c>
      <c r="J27">
        <v>59</v>
      </c>
      <c r="K27" t="s">
        <v>45</v>
      </c>
      <c r="L27" t="str" cm="1">
        <f t="array" ref="L27">_xlfn.IFS(J27&lt;=49,"Needs Improvement",J27&lt;=69,"Developing",J27&lt;=84,"Achieving",J27&lt;=94,"Exceeding",J27&lt;=100,"Outstanding")</f>
        <v>Developing</v>
      </c>
      <c r="M27" s="13">
        <f>_xlfn.XLOOKUP(Transformed_Raw_Employee_Data!L27,Lookup_Performance!$C$2:$C$6,Lookup_Performance!$D$2:$D$6)</f>
        <v>0.02</v>
      </c>
      <c r="N27" s="8">
        <f t="shared" si="1"/>
        <v>1624.1000000000001</v>
      </c>
    </row>
    <row r="28" spans="1:19" x14ac:dyDescent="0.25">
      <c r="A28" t="s">
        <v>80</v>
      </c>
      <c r="B28" t="s">
        <v>24</v>
      </c>
      <c r="C28" t="s">
        <v>36</v>
      </c>
      <c r="D28" t="str">
        <f t="shared" si="0"/>
        <v>John Wilson</v>
      </c>
      <c r="E28" t="s">
        <v>44</v>
      </c>
      <c r="F28" t="str">
        <f>_xlfn.XLOOKUP(E28,Lookup_Departments!$A$2:$A$7,Lookup_Departments!$B$2:$B$7)</f>
        <v>Sales</v>
      </c>
      <c r="G28" s="4">
        <v>43732</v>
      </c>
      <c r="H28" s="11">
        <v>6</v>
      </c>
      <c r="I28" s="8">
        <v>77610</v>
      </c>
      <c r="J28">
        <v>88</v>
      </c>
      <c r="K28" t="s">
        <v>45</v>
      </c>
      <c r="L28" t="str" cm="1">
        <f t="array" ref="L28">_xlfn.IFS(J28&lt;=49,"Needs Improvement",J28&lt;=69,"Developing",J28&lt;=84,"Achieving",J28&lt;=94,"Exceeding",J28&lt;=100,"Outstanding")</f>
        <v>Exceeding</v>
      </c>
      <c r="M28" s="13">
        <f>_xlfn.XLOOKUP(Transformed_Raw_Employee_Data!L28,Lookup_Performance!$C$2:$C$6,Lookup_Performance!$D$2:$D$6)</f>
        <v>0.08</v>
      </c>
      <c r="N28" s="8">
        <f t="shared" si="1"/>
        <v>6208.8</v>
      </c>
    </row>
    <row r="29" spans="1:19" x14ac:dyDescent="0.25">
      <c r="A29" t="s">
        <v>83</v>
      </c>
      <c r="B29" t="s">
        <v>28</v>
      </c>
      <c r="C29" t="s">
        <v>41</v>
      </c>
      <c r="D29" t="str">
        <f t="shared" si="0"/>
        <v>Thomas Rodriguez</v>
      </c>
      <c r="E29" t="s">
        <v>11</v>
      </c>
      <c r="F29" t="str">
        <f>_xlfn.XLOOKUP(E29,Lookup_Departments!$A$2:$A$7,Lookup_Departments!$B$2:$B$7)</f>
        <v>Information Technology</v>
      </c>
      <c r="G29" s="4">
        <v>44765</v>
      </c>
      <c r="H29" s="11">
        <v>3</v>
      </c>
      <c r="I29" s="8">
        <v>50873</v>
      </c>
      <c r="J29">
        <v>90</v>
      </c>
      <c r="K29" t="s">
        <v>45</v>
      </c>
      <c r="L29" t="str" cm="1">
        <f t="array" ref="L29">_xlfn.IFS(J29&lt;=49,"Needs Improvement",J29&lt;=69,"Developing",J29&lt;=84,"Achieving",J29&lt;=94,"Exceeding",J29&lt;=100,"Outstanding")</f>
        <v>Exceeding</v>
      </c>
      <c r="M29" s="13">
        <f>_xlfn.XLOOKUP(Transformed_Raw_Employee_Data!L29,Lookup_Performance!$C$2:$C$6,Lookup_Performance!$D$2:$D$6)</f>
        <v>0.08</v>
      </c>
      <c r="N29" s="8">
        <f t="shared" si="1"/>
        <v>4069.84</v>
      </c>
    </row>
    <row r="30" spans="1:19" x14ac:dyDescent="0.25">
      <c r="A30" t="s">
        <v>86</v>
      </c>
      <c r="B30" t="s">
        <v>43</v>
      </c>
      <c r="C30" t="s">
        <v>36</v>
      </c>
      <c r="D30" t="str">
        <f t="shared" si="0"/>
        <v>Michael Wilson</v>
      </c>
      <c r="E30" t="s">
        <v>26</v>
      </c>
      <c r="F30" t="str">
        <f>_xlfn.XLOOKUP(E30,Lookup_Departments!$A$2:$A$7,Lookup_Departments!$B$2:$B$7)</f>
        <v>Finance</v>
      </c>
      <c r="G30" s="4">
        <v>43233</v>
      </c>
      <c r="H30" s="11">
        <v>8</v>
      </c>
      <c r="I30" s="8">
        <v>85312</v>
      </c>
      <c r="J30">
        <v>66</v>
      </c>
      <c r="K30" t="s">
        <v>45</v>
      </c>
      <c r="L30" t="str" cm="1">
        <f t="array" ref="L30">_xlfn.IFS(J30&lt;=49,"Needs Improvement",J30&lt;=69,"Developing",J30&lt;=84,"Achieving",J30&lt;=94,"Exceeding",J30&lt;=100,"Outstanding")</f>
        <v>Developing</v>
      </c>
      <c r="M30" s="13">
        <f>_xlfn.XLOOKUP(Transformed_Raw_Employee_Data!L30,Lookup_Performance!$C$2:$C$6,Lookup_Performance!$D$2:$D$6)</f>
        <v>0.02</v>
      </c>
      <c r="N30" s="8">
        <f t="shared" si="1"/>
        <v>1706.24</v>
      </c>
    </row>
    <row r="31" spans="1:19" x14ac:dyDescent="0.25">
      <c r="A31" t="s">
        <v>89</v>
      </c>
      <c r="B31" t="s">
        <v>24</v>
      </c>
      <c r="C31" t="s">
        <v>41</v>
      </c>
      <c r="D31" t="str">
        <f t="shared" si="0"/>
        <v>John Rodriguez</v>
      </c>
      <c r="E31" t="s">
        <v>44</v>
      </c>
      <c r="F31" t="str">
        <f>_xlfn.XLOOKUP(E31,Lookup_Departments!$A$2:$A$7,Lookup_Departments!$B$2:$B$7)</f>
        <v>Sales</v>
      </c>
      <c r="G31" s="4">
        <v>42202</v>
      </c>
      <c r="H31" s="11">
        <v>10</v>
      </c>
      <c r="I31" s="8">
        <v>64757.870967741903</v>
      </c>
      <c r="J31">
        <v>68</v>
      </c>
      <c r="K31" t="s">
        <v>45</v>
      </c>
      <c r="L31" t="str" cm="1">
        <f t="array" ref="L31">_xlfn.IFS(J31&lt;=49,"Needs Improvement",J31&lt;=69,"Developing",J31&lt;=84,"Achieving",J31&lt;=94,"Exceeding",J31&lt;=100,"Outstanding")</f>
        <v>Developing</v>
      </c>
      <c r="M31" s="13">
        <f>_xlfn.XLOOKUP(Transformed_Raw_Employee_Data!L31,Lookup_Performance!$C$2:$C$6,Lookup_Performance!$D$2:$D$6)</f>
        <v>0.02</v>
      </c>
      <c r="N31" s="8">
        <f t="shared" si="1"/>
        <v>1295.1574193548381</v>
      </c>
    </row>
    <row r="32" spans="1:19" x14ac:dyDescent="0.25">
      <c r="A32" t="s">
        <v>90</v>
      </c>
      <c r="B32" t="s">
        <v>28</v>
      </c>
      <c r="C32" t="s">
        <v>15</v>
      </c>
      <c r="D32" t="str">
        <f t="shared" si="0"/>
        <v>Thomas Hernandez</v>
      </c>
      <c r="E32" t="s">
        <v>33</v>
      </c>
      <c r="F32" t="str">
        <f>_xlfn.XLOOKUP(E32,Lookup_Departments!$A$2:$A$7,Lookup_Departments!$B$2:$B$7)</f>
        <v>Operations</v>
      </c>
      <c r="G32" s="4">
        <v>42132</v>
      </c>
      <c r="H32" s="11">
        <v>11</v>
      </c>
      <c r="I32" s="8">
        <v>97055</v>
      </c>
      <c r="J32">
        <v>80</v>
      </c>
      <c r="K32" t="s">
        <v>45</v>
      </c>
      <c r="L32" t="str" cm="1">
        <f t="array" ref="L32">_xlfn.IFS(J32&lt;=49,"Needs Improvement",J32&lt;=69,"Developing",J32&lt;=84,"Achieving",J32&lt;=94,"Exceeding",J32&lt;=100,"Outstanding")</f>
        <v>Achieving</v>
      </c>
      <c r="M32" s="13">
        <f>_xlfn.XLOOKUP(Transformed_Raw_Employee_Data!L32,Lookup_Performance!$C$2:$C$6,Lookup_Performance!$D$2:$D$6)</f>
        <v>0.05</v>
      </c>
      <c r="N32" s="8">
        <f t="shared" si="1"/>
        <v>4852.75</v>
      </c>
    </row>
    <row r="33" spans="1:14" x14ac:dyDescent="0.25">
      <c r="A33" t="s">
        <v>92</v>
      </c>
      <c r="B33" t="s">
        <v>43</v>
      </c>
      <c r="C33" t="s">
        <v>32</v>
      </c>
      <c r="D33" t="str">
        <f t="shared" si="0"/>
        <v>Michael Johnson</v>
      </c>
      <c r="E33" t="s">
        <v>11</v>
      </c>
      <c r="F33" t="str">
        <f>_xlfn.XLOOKUP(E33,Lookup_Departments!$A$2:$A$7,Lookup_Departments!$B$2:$B$7)</f>
        <v>Information Technology</v>
      </c>
      <c r="G33" s="4">
        <v>45195</v>
      </c>
      <c r="H33" s="11">
        <v>2</v>
      </c>
      <c r="I33" s="8">
        <v>66069</v>
      </c>
      <c r="J33">
        <v>72</v>
      </c>
      <c r="K33" t="s">
        <v>45</v>
      </c>
      <c r="L33" t="str" cm="1">
        <f t="array" ref="L33">_xlfn.IFS(J33&lt;=49,"Needs Improvement",J33&lt;=69,"Developing",J33&lt;=84,"Achieving",J33&lt;=94,"Exceeding",J33&lt;=100,"Outstanding")</f>
        <v>Achieving</v>
      </c>
      <c r="M33" s="13">
        <f>_xlfn.XLOOKUP(Transformed_Raw_Employee_Data!L33,Lookup_Performance!$C$2:$C$6,Lookup_Performance!$D$2:$D$6)</f>
        <v>0.05</v>
      </c>
      <c r="N33" s="8">
        <f t="shared" si="1"/>
        <v>3303.4500000000003</v>
      </c>
    </row>
    <row r="34" spans="1:14" x14ac:dyDescent="0.25">
      <c r="A34" t="s">
        <v>93</v>
      </c>
      <c r="B34" t="s">
        <v>94</v>
      </c>
      <c r="C34" t="s">
        <v>10</v>
      </c>
      <c r="D34" t="str">
        <f t="shared" si="0"/>
        <v>Sarah Brown</v>
      </c>
      <c r="E34" t="s">
        <v>11</v>
      </c>
      <c r="F34" t="str">
        <f>_xlfn.XLOOKUP(E34,Lookup_Departments!$A$2:$A$7,Lookup_Departments!$B$2:$B$7)</f>
        <v>Information Technology</v>
      </c>
      <c r="G34" s="4">
        <v>43744</v>
      </c>
      <c r="H34" s="11">
        <v>6</v>
      </c>
      <c r="I34" s="8">
        <v>90157</v>
      </c>
      <c r="J34">
        <v>58</v>
      </c>
      <c r="K34" t="s">
        <v>45</v>
      </c>
      <c r="L34" t="str" cm="1">
        <f t="array" ref="L34">_xlfn.IFS(J34&lt;=49,"Needs Improvement",J34&lt;=69,"Developing",J34&lt;=84,"Achieving",J34&lt;=94,"Exceeding",J34&lt;=100,"Outstanding")</f>
        <v>Developing</v>
      </c>
      <c r="M34" s="13">
        <f>_xlfn.XLOOKUP(Transformed_Raw_Employee_Data!L34,Lookup_Performance!$C$2:$C$6,Lookup_Performance!$D$2:$D$6)</f>
        <v>0.02</v>
      </c>
      <c r="N34" s="8">
        <f t="shared" si="1"/>
        <v>1803.14</v>
      </c>
    </row>
    <row r="35" spans="1:14" x14ac:dyDescent="0.25">
      <c r="A35" t="s">
        <v>96</v>
      </c>
      <c r="B35" t="s">
        <v>53</v>
      </c>
      <c r="C35" t="s">
        <v>25</v>
      </c>
      <c r="D35" t="str">
        <f t="shared" si="0"/>
        <v>Jane Martinez</v>
      </c>
      <c r="E35" t="s">
        <v>97</v>
      </c>
      <c r="F35" t="str">
        <f>_xlfn.XLOOKUP(E35,Lookup_Departments!$A$2:$A$7,Lookup_Departments!$B$2:$B$7)</f>
        <v>Human Resources</v>
      </c>
      <c r="G35" s="4">
        <v>44578</v>
      </c>
      <c r="H35" s="11">
        <v>4</v>
      </c>
      <c r="I35" s="8">
        <v>59899</v>
      </c>
      <c r="J35">
        <v>78</v>
      </c>
      <c r="K35" t="s">
        <v>45</v>
      </c>
      <c r="L35" t="str" cm="1">
        <f t="array" ref="L35">_xlfn.IFS(J35&lt;=49,"Needs Improvement",J35&lt;=69,"Developing",J35&lt;=84,"Achieving",J35&lt;=94,"Exceeding",J35&lt;=100,"Outstanding")</f>
        <v>Achieving</v>
      </c>
      <c r="M35" s="13">
        <f>_xlfn.XLOOKUP(Transformed_Raw_Employee_Data!L35,Lookup_Performance!$C$2:$C$6,Lookup_Performance!$D$2:$D$6)</f>
        <v>0.05</v>
      </c>
      <c r="N35" s="8">
        <f t="shared" si="1"/>
        <v>2994.9500000000003</v>
      </c>
    </row>
    <row r="36" spans="1:14" x14ac:dyDescent="0.25">
      <c r="A36" t="s">
        <v>98</v>
      </c>
      <c r="B36" t="s">
        <v>9</v>
      </c>
      <c r="C36" t="s">
        <v>60</v>
      </c>
      <c r="D36" t="str">
        <f t="shared" si="0"/>
        <v>Emily Jones</v>
      </c>
      <c r="E36" t="s">
        <v>26</v>
      </c>
      <c r="F36" t="str">
        <f>_xlfn.XLOOKUP(E36,Lookup_Departments!$A$2:$A$7,Lookup_Departments!$B$2:$B$7)</f>
        <v>Finance</v>
      </c>
      <c r="G36" s="4">
        <v>42801</v>
      </c>
      <c r="H36" s="11">
        <v>9</v>
      </c>
      <c r="I36" s="8">
        <v>113389</v>
      </c>
      <c r="J36">
        <v>30</v>
      </c>
      <c r="K36" t="s">
        <v>45</v>
      </c>
      <c r="L36" t="str" cm="1">
        <f t="array" ref="L36">_xlfn.IFS(J36&lt;=49,"Needs Improvement",J36&lt;=69,"Developing",J36&lt;=84,"Achieving",J36&lt;=94,"Exceeding",J36&lt;=100,"Outstanding")</f>
        <v>Needs Improvement</v>
      </c>
      <c r="M36" s="13">
        <f>_xlfn.XLOOKUP(Transformed_Raw_Employee_Data!L36,Lookup_Performance!$C$2:$C$6,Lookup_Performance!$D$2:$D$6)</f>
        <v>0</v>
      </c>
      <c r="N36" s="8">
        <f t="shared" si="1"/>
        <v>0</v>
      </c>
    </row>
    <row r="37" spans="1:14" x14ac:dyDescent="0.25">
      <c r="A37" t="s">
        <v>100</v>
      </c>
      <c r="C37" t="s">
        <v>10</v>
      </c>
      <c r="D37" t="str">
        <f t="shared" si="0"/>
        <v>Brown</v>
      </c>
      <c r="E37" t="s">
        <v>11</v>
      </c>
      <c r="F37" t="str">
        <f>_xlfn.XLOOKUP(E37,Lookup_Departments!$A$2:$A$7,Lookup_Departments!$B$2:$B$7)</f>
        <v>Information Technology</v>
      </c>
      <c r="G37" s="4">
        <v>42013</v>
      </c>
      <c r="H37" s="11">
        <v>11</v>
      </c>
      <c r="I37" s="8">
        <v>102691</v>
      </c>
      <c r="J37">
        <v>52</v>
      </c>
      <c r="K37" t="s">
        <v>45</v>
      </c>
      <c r="L37" t="str" cm="1">
        <f t="array" ref="L37">_xlfn.IFS(J37&lt;=49,"Needs Improvement",J37&lt;=69,"Developing",J37&lt;=84,"Achieving",J37&lt;=94,"Exceeding",J37&lt;=100,"Outstanding")</f>
        <v>Developing</v>
      </c>
      <c r="M37" s="13">
        <f>_xlfn.XLOOKUP(Transformed_Raw_Employee_Data!L37,Lookup_Performance!$C$2:$C$6,Lookup_Performance!$D$2:$D$6)</f>
        <v>0.02</v>
      </c>
      <c r="N37" s="8">
        <f t="shared" si="1"/>
        <v>2053.8200000000002</v>
      </c>
    </row>
    <row r="38" spans="1:14" x14ac:dyDescent="0.25">
      <c r="A38" t="s">
        <v>102</v>
      </c>
      <c r="B38" t="s">
        <v>24</v>
      </c>
      <c r="C38" t="s">
        <v>36</v>
      </c>
      <c r="D38" t="str">
        <f t="shared" si="0"/>
        <v>John Wilson</v>
      </c>
      <c r="E38" t="s">
        <v>33</v>
      </c>
      <c r="F38" t="str">
        <f>_xlfn.XLOOKUP(E38,Lookup_Departments!$A$2:$A$7,Lookup_Departments!$B$2:$B$7)</f>
        <v>Operations</v>
      </c>
      <c r="G38" s="4">
        <v>44628</v>
      </c>
      <c r="H38" s="11">
        <v>4</v>
      </c>
      <c r="I38" s="8">
        <v>111845</v>
      </c>
      <c r="J38">
        <v>98</v>
      </c>
      <c r="K38" t="s">
        <v>45</v>
      </c>
      <c r="L38" t="str" cm="1">
        <f t="array" ref="L38">_xlfn.IFS(J38&lt;=49,"Needs Improvement",J38&lt;=69,"Developing",J38&lt;=84,"Achieving",J38&lt;=94,"Exceeding",J38&lt;=100,"Outstanding")</f>
        <v>Outstanding</v>
      </c>
      <c r="M38" s="13">
        <f>_xlfn.XLOOKUP(Transformed_Raw_Employee_Data!L38,Lookup_Performance!$C$2:$C$6,Lookup_Performance!$D$2:$D$6)</f>
        <v>0.12</v>
      </c>
      <c r="N38" s="8">
        <f t="shared" si="1"/>
        <v>13421.4</v>
      </c>
    </row>
    <row r="39" spans="1:14" x14ac:dyDescent="0.25">
      <c r="A39" t="s">
        <v>104</v>
      </c>
      <c r="B39" t="s">
        <v>105</v>
      </c>
      <c r="C39" t="s">
        <v>10</v>
      </c>
      <c r="D39" t="str">
        <f t="shared" si="0"/>
        <v>Melissa Brown</v>
      </c>
      <c r="E39" t="s">
        <v>44</v>
      </c>
      <c r="F39" t="str">
        <f>_xlfn.XLOOKUP(E39,Lookup_Departments!$A$2:$A$7,Lookup_Departments!$B$2:$B$7)</f>
        <v>Sales</v>
      </c>
      <c r="G39" s="4">
        <v>44741</v>
      </c>
      <c r="H39" s="11">
        <v>4</v>
      </c>
      <c r="I39" s="8">
        <v>69219</v>
      </c>
      <c r="J39">
        <v>93</v>
      </c>
      <c r="K39" t="s">
        <v>45</v>
      </c>
      <c r="L39" t="str" cm="1">
        <f t="array" ref="L39">_xlfn.IFS(J39&lt;=49,"Needs Improvement",J39&lt;=69,"Developing",J39&lt;=84,"Achieving",J39&lt;=94,"Exceeding",J39&lt;=100,"Outstanding")</f>
        <v>Exceeding</v>
      </c>
      <c r="M39" s="13">
        <f>_xlfn.XLOOKUP(Transformed_Raw_Employee_Data!L39,Lookup_Performance!$C$2:$C$6,Lookup_Performance!$D$2:$D$6)</f>
        <v>0.08</v>
      </c>
      <c r="N39" s="8">
        <f t="shared" si="1"/>
        <v>5537.52</v>
      </c>
    </row>
    <row r="40" spans="1:14" x14ac:dyDescent="0.25">
      <c r="A40" t="s">
        <v>107</v>
      </c>
      <c r="B40" t="s">
        <v>43</v>
      </c>
      <c r="C40" t="s">
        <v>29</v>
      </c>
      <c r="D40" t="str">
        <f t="shared" si="0"/>
        <v>Michael Smith</v>
      </c>
      <c r="E40" t="s">
        <v>26</v>
      </c>
      <c r="F40" t="str">
        <f>_xlfn.XLOOKUP(E40,Lookup_Departments!$A$2:$A$7,Lookup_Departments!$B$2:$B$7)</f>
        <v>Finance</v>
      </c>
      <c r="G40" s="4">
        <v>43949</v>
      </c>
      <c r="H40" s="11">
        <v>6</v>
      </c>
      <c r="I40" s="8">
        <v>72419.941176470602</v>
      </c>
      <c r="J40">
        <v>80</v>
      </c>
      <c r="K40" t="s">
        <v>30</v>
      </c>
      <c r="L40" t="str" cm="1">
        <f t="array" ref="L40">_xlfn.IFS(J40&lt;=49,"Needs Improvement",J40&lt;=69,"Developing",J40&lt;=84,"Achieving",J40&lt;=94,"Exceeding",J40&lt;=100,"Outstanding")</f>
        <v>Achieving</v>
      </c>
      <c r="M40" s="13">
        <f>_xlfn.XLOOKUP(Transformed_Raw_Employee_Data!L40,Lookup_Performance!$C$2:$C$6,Lookup_Performance!$D$2:$D$6)</f>
        <v>0.05</v>
      </c>
      <c r="N40" s="8">
        <f t="shared" si="1"/>
        <v>3620.9970588235301</v>
      </c>
    </row>
    <row r="41" spans="1:14" x14ac:dyDescent="0.25">
      <c r="A41" t="s">
        <v>109</v>
      </c>
      <c r="B41" t="s">
        <v>94</v>
      </c>
      <c r="C41" t="s">
        <v>47</v>
      </c>
      <c r="D41" t="str">
        <f t="shared" si="0"/>
        <v>Sarah Miller</v>
      </c>
      <c r="E41" t="s">
        <v>33</v>
      </c>
      <c r="F41" t="str">
        <f>_xlfn.XLOOKUP(E41,Lookup_Departments!$A$2:$A$7,Lookup_Departments!$B$2:$B$7)</f>
        <v>Operations</v>
      </c>
      <c r="G41" s="4">
        <v>42987</v>
      </c>
      <c r="H41" s="11">
        <v>8</v>
      </c>
      <c r="I41" s="8">
        <v>57514</v>
      </c>
      <c r="J41">
        <v>63</v>
      </c>
      <c r="K41" t="s">
        <v>45</v>
      </c>
      <c r="L41" t="str" cm="1">
        <f t="array" ref="L41">_xlfn.IFS(J41&lt;=49,"Needs Improvement",J41&lt;=69,"Developing",J41&lt;=84,"Achieving",J41&lt;=94,"Exceeding",J41&lt;=100,"Outstanding")</f>
        <v>Developing</v>
      </c>
      <c r="M41" s="13">
        <f>_xlfn.XLOOKUP(Transformed_Raw_Employee_Data!L41,Lookup_Performance!$C$2:$C$6,Lookup_Performance!$D$2:$D$6)</f>
        <v>0.02</v>
      </c>
      <c r="N41" s="8">
        <f t="shared" si="1"/>
        <v>1150.28</v>
      </c>
    </row>
    <row r="42" spans="1:14" x14ac:dyDescent="0.25">
      <c r="A42" t="s">
        <v>111</v>
      </c>
      <c r="B42" t="s">
        <v>9</v>
      </c>
      <c r="C42" t="s">
        <v>36</v>
      </c>
      <c r="D42" t="str">
        <f t="shared" si="0"/>
        <v>Emily Wilson</v>
      </c>
      <c r="E42" t="s">
        <v>44</v>
      </c>
      <c r="F42" t="str">
        <f>_xlfn.XLOOKUP(E42,Lookup_Departments!$A$2:$A$7,Lookup_Departments!$B$2:$B$7)</f>
        <v>Sales</v>
      </c>
      <c r="G42" s="4">
        <v>43181</v>
      </c>
      <c r="H42" s="11">
        <v>8</v>
      </c>
      <c r="I42" s="8">
        <v>86245</v>
      </c>
      <c r="J42">
        <v>71</v>
      </c>
      <c r="K42" t="s">
        <v>30</v>
      </c>
      <c r="L42" t="str" cm="1">
        <f t="array" ref="L42">_xlfn.IFS(J42&lt;=49,"Needs Improvement",J42&lt;=69,"Developing",J42&lt;=84,"Achieving",J42&lt;=94,"Exceeding",J42&lt;=100,"Outstanding")</f>
        <v>Achieving</v>
      </c>
      <c r="M42" s="13">
        <f>_xlfn.XLOOKUP(Transformed_Raw_Employee_Data!L42,Lookup_Performance!$C$2:$C$6,Lookup_Performance!$D$2:$D$6)</f>
        <v>0.05</v>
      </c>
      <c r="N42" s="8">
        <f t="shared" si="1"/>
        <v>4312.25</v>
      </c>
    </row>
    <row r="43" spans="1:14" x14ac:dyDescent="0.25">
      <c r="A43" t="s">
        <v>112</v>
      </c>
      <c r="B43" t="s">
        <v>113</v>
      </c>
      <c r="C43" t="s">
        <v>15</v>
      </c>
      <c r="D43" t="str">
        <f t="shared" si="0"/>
        <v>David Hernandez</v>
      </c>
      <c r="E43" t="s">
        <v>44</v>
      </c>
      <c r="F43" t="str">
        <f>_xlfn.XLOOKUP(E43,Lookup_Departments!$A$2:$A$7,Lookup_Departments!$B$2:$B$7)</f>
        <v>Sales</v>
      </c>
      <c r="G43" s="4">
        <v>44017</v>
      </c>
      <c r="H43" s="11">
        <v>5</v>
      </c>
      <c r="I43" s="8">
        <v>52407</v>
      </c>
      <c r="J43">
        <v>55</v>
      </c>
      <c r="K43" t="s">
        <v>45</v>
      </c>
      <c r="L43" t="str" cm="1">
        <f t="array" ref="L43">_xlfn.IFS(J43&lt;=49,"Needs Improvement",J43&lt;=69,"Developing",J43&lt;=84,"Achieving",J43&lt;=94,"Exceeding",J43&lt;=100,"Outstanding")</f>
        <v>Developing</v>
      </c>
      <c r="M43" s="13">
        <f>_xlfn.XLOOKUP(Transformed_Raw_Employee_Data!L43,Lookup_Performance!$C$2:$C$6,Lookup_Performance!$D$2:$D$6)</f>
        <v>0.02</v>
      </c>
      <c r="N43" s="8">
        <f t="shared" si="1"/>
        <v>1048.1400000000001</v>
      </c>
    </row>
    <row r="44" spans="1:14" x14ac:dyDescent="0.25">
      <c r="A44" t="s">
        <v>114</v>
      </c>
      <c r="B44" t="s">
        <v>66</v>
      </c>
      <c r="C44" t="s">
        <v>29</v>
      </c>
      <c r="D44" t="str">
        <f t="shared" si="0"/>
        <v>James Smith</v>
      </c>
      <c r="E44" t="s">
        <v>33</v>
      </c>
      <c r="F44" t="str">
        <f>_xlfn.XLOOKUP(E44,Lookup_Departments!$A$2:$A$7,Lookup_Departments!$B$2:$B$7)</f>
        <v>Operations</v>
      </c>
      <c r="G44" s="4">
        <v>43549</v>
      </c>
      <c r="H44" s="11">
        <v>7</v>
      </c>
      <c r="I44" s="8">
        <v>66606</v>
      </c>
      <c r="J44">
        <v>93</v>
      </c>
      <c r="K44" t="s">
        <v>116</v>
      </c>
      <c r="L44" t="str" cm="1">
        <f t="array" ref="L44">_xlfn.IFS(J44&lt;=49,"Needs Improvement",J44&lt;=69,"Developing",J44&lt;=84,"Achieving",J44&lt;=94,"Exceeding",J44&lt;=100,"Outstanding")</f>
        <v>Exceeding</v>
      </c>
      <c r="M44" s="13">
        <f>_xlfn.XLOOKUP(Transformed_Raw_Employee_Data!L44,Lookup_Performance!$C$2:$C$6,Lookup_Performance!$D$2:$D$6)</f>
        <v>0.08</v>
      </c>
      <c r="N44" s="8">
        <f t="shared" si="1"/>
        <v>5328.4800000000005</v>
      </c>
    </row>
    <row r="45" spans="1:14" x14ac:dyDescent="0.25">
      <c r="A45" t="s">
        <v>117</v>
      </c>
      <c r="B45" t="s">
        <v>94</v>
      </c>
      <c r="C45" t="s">
        <v>54</v>
      </c>
      <c r="D45" t="str">
        <f t="shared" si="0"/>
        <v>Sarah Williams</v>
      </c>
      <c r="E45" t="s">
        <v>11</v>
      </c>
      <c r="F45" t="str">
        <f>_xlfn.XLOOKUP(E45,Lookup_Departments!$A$2:$A$7,Lookup_Departments!$B$2:$B$7)</f>
        <v>Information Technology</v>
      </c>
      <c r="G45" s="4">
        <v>43716</v>
      </c>
      <c r="H45" s="11">
        <v>6</v>
      </c>
      <c r="I45" s="8">
        <v>81896</v>
      </c>
      <c r="J45">
        <v>79</v>
      </c>
      <c r="K45" t="s">
        <v>116</v>
      </c>
      <c r="L45" t="str" cm="1">
        <f t="array" ref="L45">_xlfn.IFS(J45&lt;=49,"Needs Improvement",J45&lt;=69,"Developing",J45&lt;=84,"Achieving",J45&lt;=94,"Exceeding",J45&lt;=100,"Outstanding")</f>
        <v>Achieving</v>
      </c>
      <c r="M45" s="13">
        <f>_xlfn.XLOOKUP(Transformed_Raw_Employee_Data!L45,Lookup_Performance!$C$2:$C$6,Lookup_Performance!$D$2:$D$6)</f>
        <v>0.05</v>
      </c>
      <c r="N45" s="8">
        <f t="shared" si="1"/>
        <v>4094.8</v>
      </c>
    </row>
    <row r="46" spans="1:14" x14ac:dyDescent="0.25">
      <c r="A46" t="s">
        <v>118</v>
      </c>
      <c r="B46" t="s">
        <v>71</v>
      </c>
      <c r="C46" t="s">
        <v>69</v>
      </c>
      <c r="D46" t="str">
        <f t="shared" si="0"/>
        <v>Amanda Lopez</v>
      </c>
      <c r="E46" t="s">
        <v>44</v>
      </c>
      <c r="F46" t="str">
        <f>_xlfn.XLOOKUP(E46,Lookup_Departments!$A$2:$A$7,Lookup_Departments!$B$2:$B$7)</f>
        <v>Sales</v>
      </c>
      <c r="G46" s="4">
        <v>42565</v>
      </c>
      <c r="H46" s="11">
        <v>9</v>
      </c>
      <c r="I46" s="8">
        <v>78402</v>
      </c>
      <c r="J46">
        <v>54</v>
      </c>
      <c r="K46" t="s">
        <v>45</v>
      </c>
      <c r="L46" t="str" cm="1">
        <f t="array" ref="L46">_xlfn.IFS(J46&lt;=49,"Needs Improvement",J46&lt;=69,"Developing",J46&lt;=84,"Achieving",J46&lt;=94,"Exceeding",J46&lt;=100,"Outstanding")</f>
        <v>Developing</v>
      </c>
      <c r="M46" s="13">
        <f>_xlfn.XLOOKUP(Transformed_Raw_Employee_Data!L46,Lookup_Performance!$C$2:$C$6,Lookup_Performance!$D$2:$D$6)</f>
        <v>0.02</v>
      </c>
      <c r="N46" s="8">
        <f t="shared" si="1"/>
        <v>1568.04</v>
      </c>
    </row>
    <row r="47" spans="1:14" x14ac:dyDescent="0.25">
      <c r="A47" t="s">
        <v>120</v>
      </c>
      <c r="B47" t="s">
        <v>28</v>
      </c>
      <c r="C47" t="s">
        <v>69</v>
      </c>
      <c r="D47" t="str">
        <f t="shared" si="0"/>
        <v>Thomas Lopez</v>
      </c>
      <c r="E47" t="s">
        <v>33</v>
      </c>
      <c r="F47" t="str">
        <f>_xlfn.XLOOKUP(E47,Lookup_Departments!$A$2:$A$7,Lookup_Departments!$B$2:$B$7)</f>
        <v>Operations</v>
      </c>
      <c r="G47" s="4">
        <v>42470</v>
      </c>
      <c r="H47" s="11">
        <v>10</v>
      </c>
      <c r="I47" s="8">
        <v>105498</v>
      </c>
      <c r="J47">
        <v>76</v>
      </c>
      <c r="K47" t="s">
        <v>45</v>
      </c>
      <c r="L47" t="str" cm="1">
        <f t="array" ref="L47">_xlfn.IFS(J47&lt;=49,"Needs Improvement",J47&lt;=69,"Developing",J47&lt;=84,"Achieving",J47&lt;=94,"Exceeding",J47&lt;=100,"Outstanding")</f>
        <v>Achieving</v>
      </c>
      <c r="M47" s="13">
        <f>_xlfn.XLOOKUP(Transformed_Raw_Employee_Data!L47,Lookup_Performance!$C$2:$C$6,Lookup_Performance!$D$2:$D$6)</f>
        <v>0.05</v>
      </c>
      <c r="N47" s="8">
        <f t="shared" si="1"/>
        <v>5274.9000000000005</v>
      </c>
    </row>
    <row r="48" spans="1:14" x14ac:dyDescent="0.25">
      <c r="A48" t="s">
        <v>121</v>
      </c>
      <c r="B48" t="s">
        <v>105</v>
      </c>
      <c r="C48" t="s">
        <v>32</v>
      </c>
      <c r="D48" t="str">
        <f t="shared" si="0"/>
        <v>Melissa Johnson</v>
      </c>
      <c r="E48" t="s">
        <v>16</v>
      </c>
      <c r="F48" t="str">
        <f>_xlfn.XLOOKUP(E48,Lookup_Departments!$A$2:$A$7,Lookup_Departments!$B$2:$B$7)</f>
        <v>Marketing</v>
      </c>
      <c r="G48" s="4">
        <v>43745</v>
      </c>
      <c r="H48" s="11">
        <v>6</v>
      </c>
      <c r="I48" s="8">
        <v>91749</v>
      </c>
      <c r="J48">
        <v>72</v>
      </c>
      <c r="K48" t="s">
        <v>30</v>
      </c>
      <c r="L48" t="str" cm="1">
        <f t="array" ref="L48">_xlfn.IFS(J48&lt;=49,"Needs Improvement",J48&lt;=69,"Developing",J48&lt;=84,"Achieving",J48&lt;=94,"Exceeding",J48&lt;=100,"Outstanding")</f>
        <v>Achieving</v>
      </c>
      <c r="M48" s="13">
        <f>_xlfn.XLOOKUP(Transformed_Raw_Employee_Data!L48,Lookup_Performance!$C$2:$C$6,Lookup_Performance!$D$2:$D$6)</f>
        <v>0.05</v>
      </c>
      <c r="N48" s="8">
        <f t="shared" si="1"/>
        <v>4587.45</v>
      </c>
    </row>
    <row r="49" spans="1:14" x14ac:dyDescent="0.25">
      <c r="A49" t="s">
        <v>123</v>
      </c>
      <c r="B49" t="s">
        <v>71</v>
      </c>
      <c r="C49" t="s">
        <v>32</v>
      </c>
      <c r="D49" t="str">
        <f t="shared" si="0"/>
        <v>Amanda Johnson</v>
      </c>
      <c r="E49" t="s">
        <v>33</v>
      </c>
      <c r="F49" t="str">
        <f>_xlfn.XLOOKUP(E49,Lookup_Departments!$A$2:$A$7,Lookup_Departments!$B$2:$B$7)</f>
        <v>Operations</v>
      </c>
      <c r="G49" s="4">
        <v>44437</v>
      </c>
      <c r="H49" s="11">
        <v>4</v>
      </c>
      <c r="I49" s="8">
        <v>99935</v>
      </c>
      <c r="J49">
        <v>84</v>
      </c>
      <c r="K49" t="s">
        <v>116</v>
      </c>
      <c r="L49" t="str" cm="1">
        <f t="array" ref="L49">_xlfn.IFS(J49&lt;=49,"Needs Improvement",J49&lt;=69,"Developing",J49&lt;=84,"Achieving",J49&lt;=94,"Exceeding",J49&lt;=100,"Outstanding")</f>
        <v>Achieving</v>
      </c>
      <c r="M49" s="13">
        <f>_xlfn.XLOOKUP(Transformed_Raw_Employee_Data!L49,Lookup_Performance!$C$2:$C$6,Lookup_Performance!$D$2:$D$6)</f>
        <v>0.05</v>
      </c>
      <c r="N49" s="8">
        <f t="shared" si="1"/>
        <v>4996.75</v>
      </c>
    </row>
    <row r="50" spans="1:14" x14ac:dyDescent="0.25">
      <c r="A50" t="s">
        <v>124</v>
      </c>
      <c r="B50" t="s">
        <v>24</v>
      </c>
      <c r="C50" t="s">
        <v>64</v>
      </c>
      <c r="D50" t="str">
        <f t="shared" si="0"/>
        <v>John Davis</v>
      </c>
      <c r="E50" t="s">
        <v>11</v>
      </c>
      <c r="F50" t="str">
        <f>_xlfn.XLOOKUP(E50,Lookup_Departments!$A$2:$A$7,Lookup_Departments!$B$2:$B$7)</f>
        <v>Information Technology</v>
      </c>
      <c r="G50" s="4">
        <v>42761</v>
      </c>
      <c r="H50" s="11">
        <v>9</v>
      </c>
      <c r="I50" s="8">
        <v>83531</v>
      </c>
      <c r="J50">
        <v>30</v>
      </c>
      <c r="K50" t="s">
        <v>30</v>
      </c>
      <c r="L50" t="str" cm="1">
        <f t="array" ref="L50">_xlfn.IFS(J50&lt;=49,"Needs Improvement",J50&lt;=69,"Developing",J50&lt;=84,"Achieving",J50&lt;=94,"Exceeding",J50&lt;=100,"Outstanding")</f>
        <v>Needs Improvement</v>
      </c>
      <c r="M50" s="13">
        <f>_xlfn.XLOOKUP(Transformed_Raw_Employee_Data!L50,Lookup_Performance!$C$2:$C$6,Lookup_Performance!$D$2:$D$6)</f>
        <v>0</v>
      </c>
      <c r="N50" s="8">
        <f t="shared" si="1"/>
        <v>0</v>
      </c>
    </row>
    <row r="51" spans="1:14" x14ac:dyDescent="0.25">
      <c r="A51" t="s">
        <v>125</v>
      </c>
      <c r="B51" t="s">
        <v>66</v>
      </c>
      <c r="C51" t="s">
        <v>32</v>
      </c>
      <c r="D51" t="str">
        <f t="shared" si="0"/>
        <v>James Johnson</v>
      </c>
      <c r="E51" t="s">
        <v>16</v>
      </c>
      <c r="F51" t="str">
        <f>_xlfn.XLOOKUP(E51,Lookup_Departments!$A$2:$A$7,Lookup_Departments!$B$2:$B$7)</f>
        <v>Marketing</v>
      </c>
      <c r="G51" s="4">
        <v>43981</v>
      </c>
      <c r="H51" s="11">
        <v>6</v>
      </c>
      <c r="I51" s="8">
        <v>75023</v>
      </c>
      <c r="J51" s="11">
        <v>62.473684210526315</v>
      </c>
      <c r="K51" t="s">
        <v>45</v>
      </c>
      <c r="L51" t="str" cm="1">
        <f t="array" ref="L51">_xlfn.IFS(J51&lt;=49,"Needs Improvement",J51&lt;=69,"Developing",J51&lt;=84,"Achieving",J51&lt;=94,"Exceeding",J51&lt;=100,"Outstanding")</f>
        <v>Developing</v>
      </c>
      <c r="M51" s="13">
        <f>_xlfn.XLOOKUP(Transformed_Raw_Employee_Data!L51,Lookup_Performance!$C$2:$C$6,Lookup_Performance!$D$2:$D$6)</f>
        <v>0.02</v>
      </c>
      <c r="N51" s="8">
        <f t="shared" si="1"/>
        <v>1500.46</v>
      </c>
    </row>
    <row r="52" spans="1:14" x14ac:dyDescent="0.25">
      <c r="A52" t="s">
        <v>127</v>
      </c>
      <c r="B52" t="s">
        <v>53</v>
      </c>
      <c r="C52" t="s">
        <v>64</v>
      </c>
      <c r="D52" t="str">
        <f t="shared" si="0"/>
        <v>Jane Davis</v>
      </c>
      <c r="E52" t="s">
        <v>97</v>
      </c>
      <c r="F52" t="str">
        <f>_xlfn.XLOOKUP(E52,Lookup_Departments!$A$2:$A$7,Lookup_Departments!$B$2:$B$7)</f>
        <v>Human Resources</v>
      </c>
      <c r="G52" s="4">
        <v>44612</v>
      </c>
      <c r="H52" s="11">
        <v>4</v>
      </c>
      <c r="I52" s="8">
        <v>93290</v>
      </c>
      <c r="J52">
        <v>53</v>
      </c>
      <c r="K52" t="s">
        <v>45</v>
      </c>
      <c r="L52" t="str" cm="1">
        <f t="array" ref="L52">_xlfn.IFS(J52&lt;=49,"Needs Improvement",J52&lt;=69,"Developing",J52&lt;=84,"Achieving",J52&lt;=94,"Exceeding",J52&lt;=100,"Outstanding")</f>
        <v>Developing</v>
      </c>
      <c r="M52" s="13">
        <f>_xlfn.XLOOKUP(Transformed_Raw_Employee_Data!L52,Lookup_Performance!$C$2:$C$6,Lookup_Performance!$D$2:$D$6)</f>
        <v>0.02</v>
      </c>
      <c r="N52" s="8">
        <f t="shared" si="1"/>
        <v>1865.8</v>
      </c>
    </row>
    <row r="53" spans="1:14" x14ac:dyDescent="0.25">
      <c r="A53" t="s">
        <v>128</v>
      </c>
      <c r="B53" t="s">
        <v>14</v>
      </c>
      <c r="C53" t="s">
        <v>64</v>
      </c>
      <c r="D53" t="str">
        <f t="shared" si="0"/>
        <v>Richard Davis</v>
      </c>
      <c r="E53" t="s">
        <v>33</v>
      </c>
      <c r="F53" t="str">
        <f>_xlfn.XLOOKUP(E53,Lookup_Departments!$A$2:$A$7,Lookup_Departments!$B$2:$B$7)</f>
        <v>Operations</v>
      </c>
      <c r="G53" s="4">
        <v>42628</v>
      </c>
      <c r="H53" s="11">
        <v>9</v>
      </c>
      <c r="I53" s="8">
        <v>115527</v>
      </c>
      <c r="J53">
        <v>63</v>
      </c>
      <c r="K53" t="s">
        <v>116</v>
      </c>
      <c r="L53" t="str" cm="1">
        <f t="array" ref="L53">_xlfn.IFS(J53&lt;=49,"Needs Improvement",J53&lt;=69,"Developing",J53&lt;=84,"Achieving",J53&lt;=94,"Exceeding",J53&lt;=100,"Outstanding")</f>
        <v>Developing</v>
      </c>
      <c r="M53" s="13">
        <f>_xlfn.XLOOKUP(Transformed_Raw_Employee_Data!L53,Lookup_Performance!$C$2:$C$6,Lookup_Performance!$D$2:$D$6)</f>
        <v>0.02</v>
      </c>
      <c r="N53" s="8">
        <f t="shared" si="1"/>
        <v>2310.54</v>
      </c>
    </row>
    <row r="54" spans="1:14" x14ac:dyDescent="0.25">
      <c r="A54" t="s">
        <v>129</v>
      </c>
      <c r="B54" t="s">
        <v>28</v>
      </c>
      <c r="C54" t="s">
        <v>41</v>
      </c>
      <c r="D54" t="str">
        <f t="shared" si="0"/>
        <v>Thomas Rodriguez</v>
      </c>
      <c r="E54" t="s">
        <v>26</v>
      </c>
      <c r="F54" t="str">
        <f>_xlfn.XLOOKUP(E54,Lookup_Departments!$A$2:$A$7,Lookup_Departments!$B$2:$B$7)</f>
        <v>Finance</v>
      </c>
      <c r="G54" s="4">
        <v>43656</v>
      </c>
      <c r="H54" s="11">
        <v>6</v>
      </c>
      <c r="I54" s="8">
        <v>55920</v>
      </c>
      <c r="J54">
        <v>84</v>
      </c>
      <c r="K54" t="s">
        <v>45</v>
      </c>
      <c r="L54" t="str" cm="1">
        <f t="array" ref="L54">_xlfn.IFS(J54&lt;=49,"Needs Improvement",J54&lt;=69,"Developing",J54&lt;=84,"Achieving",J54&lt;=94,"Exceeding",J54&lt;=100,"Outstanding")</f>
        <v>Achieving</v>
      </c>
      <c r="M54" s="13">
        <f>_xlfn.XLOOKUP(Transformed_Raw_Employee_Data!L54,Lookup_Performance!$C$2:$C$6,Lookup_Performance!$D$2:$D$6)</f>
        <v>0.05</v>
      </c>
      <c r="N54" s="8">
        <f t="shared" si="1"/>
        <v>2796</v>
      </c>
    </row>
    <row r="55" spans="1:14" x14ac:dyDescent="0.25">
      <c r="A55" t="s">
        <v>131</v>
      </c>
      <c r="B55" t="s">
        <v>9</v>
      </c>
      <c r="C55" t="s">
        <v>32</v>
      </c>
      <c r="D55" t="str">
        <f t="shared" si="0"/>
        <v>Emily Johnson</v>
      </c>
      <c r="E55" t="s">
        <v>44</v>
      </c>
      <c r="F55" t="str">
        <f>_xlfn.XLOOKUP(E55,Lookup_Departments!$A$2:$A$7,Lookup_Departments!$B$2:$B$7)</f>
        <v>Sales</v>
      </c>
      <c r="G55" s="4">
        <v>43464</v>
      </c>
      <c r="H55" s="11">
        <v>7</v>
      </c>
      <c r="I55" s="8">
        <v>80189</v>
      </c>
      <c r="J55">
        <v>30</v>
      </c>
      <c r="K55" t="s">
        <v>45</v>
      </c>
      <c r="L55" t="str" cm="1">
        <f t="array" ref="L55">_xlfn.IFS(J55&lt;=49,"Needs Improvement",J55&lt;=69,"Developing",J55&lt;=84,"Achieving",J55&lt;=94,"Exceeding",J55&lt;=100,"Outstanding")</f>
        <v>Needs Improvement</v>
      </c>
      <c r="M55" s="13">
        <f>_xlfn.XLOOKUP(Transformed_Raw_Employee_Data!L55,Lookup_Performance!$C$2:$C$6,Lookup_Performance!$D$2:$D$6)</f>
        <v>0</v>
      </c>
      <c r="N55" s="8">
        <f t="shared" si="1"/>
        <v>0</v>
      </c>
    </row>
    <row r="56" spans="1:14" x14ac:dyDescent="0.25">
      <c r="A56" t="s">
        <v>132</v>
      </c>
      <c r="B56" t="s">
        <v>9</v>
      </c>
      <c r="C56" t="s">
        <v>133</v>
      </c>
      <c r="D56" t="str">
        <f t="shared" si="0"/>
        <v>Emily Garcia</v>
      </c>
      <c r="E56" t="s">
        <v>97</v>
      </c>
      <c r="F56" t="str">
        <f>_xlfn.XLOOKUP(E56,Lookup_Departments!$A$2:$A$7,Lookup_Departments!$B$2:$B$7)</f>
        <v>Human Resources</v>
      </c>
      <c r="G56" s="4">
        <v>44189</v>
      </c>
      <c r="H56" s="11">
        <v>5</v>
      </c>
      <c r="I56" s="8">
        <v>118947</v>
      </c>
      <c r="J56">
        <v>96</v>
      </c>
      <c r="K56" t="s">
        <v>45</v>
      </c>
      <c r="L56" t="str" cm="1">
        <f t="array" ref="L56">_xlfn.IFS(J56&lt;=49,"Needs Improvement",J56&lt;=69,"Developing",J56&lt;=84,"Achieving",J56&lt;=94,"Exceeding",J56&lt;=100,"Outstanding")</f>
        <v>Outstanding</v>
      </c>
      <c r="M56" s="13">
        <f>_xlfn.XLOOKUP(Transformed_Raw_Employee_Data!L56,Lookup_Performance!$C$2:$C$6,Lookup_Performance!$D$2:$D$6)</f>
        <v>0.12</v>
      </c>
      <c r="N56" s="8">
        <f t="shared" si="1"/>
        <v>14273.64</v>
      </c>
    </row>
    <row r="57" spans="1:14" x14ac:dyDescent="0.25">
      <c r="A57" t="s">
        <v>134</v>
      </c>
      <c r="B57" t="s">
        <v>53</v>
      </c>
      <c r="C57" t="s">
        <v>135</v>
      </c>
      <c r="D57" t="str">
        <f t="shared" si="0"/>
        <v>Jane Anderson</v>
      </c>
      <c r="E57" t="s">
        <v>11</v>
      </c>
      <c r="F57" t="str">
        <f>_xlfn.XLOOKUP(E57,Lookup_Departments!$A$2:$A$7,Lookup_Departments!$B$2:$B$7)</f>
        <v>Information Technology</v>
      </c>
      <c r="G57" s="4">
        <v>45053</v>
      </c>
      <c r="H57" s="11">
        <v>3</v>
      </c>
      <c r="I57" s="8">
        <v>68901.166666666701</v>
      </c>
      <c r="J57">
        <v>54</v>
      </c>
      <c r="K57" t="s">
        <v>45</v>
      </c>
      <c r="L57" t="str" cm="1">
        <f t="array" ref="L57">_xlfn.IFS(J57&lt;=49,"Needs Improvement",J57&lt;=69,"Developing",J57&lt;=84,"Achieving",J57&lt;=94,"Exceeding",J57&lt;=100,"Outstanding")</f>
        <v>Developing</v>
      </c>
      <c r="M57" s="13">
        <f>_xlfn.XLOOKUP(Transformed_Raw_Employee_Data!L57,Lookup_Performance!$C$2:$C$6,Lookup_Performance!$D$2:$D$6)</f>
        <v>0.02</v>
      </c>
      <c r="N57" s="8">
        <f t="shared" si="1"/>
        <v>1378.023333333334</v>
      </c>
    </row>
    <row r="58" spans="1:14" x14ac:dyDescent="0.25">
      <c r="A58" t="s">
        <v>136</v>
      </c>
      <c r="B58" t="s">
        <v>28</v>
      </c>
      <c r="C58" t="s">
        <v>133</v>
      </c>
      <c r="D58" t="str">
        <f t="shared" si="0"/>
        <v>Thomas Garcia</v>
      </c>
      <c r="E58" t="s">
        <v>33</v>
      </c>
      <c r="F58" t="str">
        <f>_xlfn.XLOOKUP(E58,Lookup_Departments!$A$2:$A$7,Lookup_Departments!$B$2:$B$7)</f>
        <v>Operations</v>
      </c>
      <c r="G58" s="4">
        <v>44148</v>
      </c>
      <c r="H58" s="11">
        <v>5</v>
      </c>
      <c r="I58" s="8">
        <v>74284.137931034493</v>
      </c>
      <c r="J58">
        <v>75</v>
      </c>
      <c r="K58" t="s">
        <v>45</v>
      </c>
      <c r="L58" t="str" cm="1">
        <f t="array" ref="L58">_xlfn.IFS(J58&lt;=49,"Needs Improvement",J58&lt;=69,"Developing",J58&lt;=84,"Achieving",J58&lt;=94,"Exceeding",J58&lt;=100,"Outstanding")</f>
        <v>Achieving</v>
      </c>
      <c r="M58" s="13">
        <f>_xlfn.XLOOKUP(Transformed_Raw_Employee_Data!L58,Lookup_Performance!$C$2:$C$6,Lookup_Performance!$D$2:$D$6)</f>
        <v>0.05</v>
      </c>
      <c r="N58" s="8">
        <f t="shared" si="1"/>
        <v>3714.2068965517246</v>
      </c>
    </row>
    <row r="59" spans="1:14" x14ac:dyDescent="0.25">
      <c r="A59" t="s">
        <v>137</v>
      </c>
      <c r="B59" t="s">
        <v>113</v>
      </c>
      <c r="C59" t="s">
        <v>25</v>
      </c>
      <c r="D59" t="str">
        <f t="shared" si="0"/>
        <v>David Martinez</v>
      </c>
      <c r="E59" t="s">
        <v>97</v>
      </c>
      <c r="F59" t="str">
        <f>_xlfn.XLOOKUP(E59,Lookup_Departments!$A$2:$A$7,Lookup_Departments!$B$2:$B$7)</f>
        <v>Human Resources</v>
      </c>
      <c r="G59" s="4">
        <v>43283</v>
      </c>
      <c r="H59" s="11">
        <v>8</v>
      </c>
      <c r="I59" s="8">
        <v>91655</v>
      </c>
      <c r="J59">
        <v>95</v>
      </c>
      <c r="K59" t="s">
        <v>45</v>
      </c>
      <c r="L59" t="str" cm="1">
        <f t="array" ref="L59">_xlfn.IFS(J59&lt;=49,"Needs Improvement",J59&lt;=69,"Developing",J59&lt;=84,"Achieving",J59&lt;=94,"Exceeding",J59&lt;=100,"Outstanding")</f>
        <v>Outstanding</v>
      </c>
      <c r="M59" s="13">
        <f>_xlfn.XLOOKUP(Transformed_Raw_Employee_Data!L59,Lookup_Performance!$C$2:$C$6,Lookup_Performance!$D$2:$D$6)</f>
        <v>0.12</v>
      </c>
      <c r="N59" s="8">
        <f t="shared" si="1"/>
        <v>10998.6</v>
      </c>
    </row>
    <row r="60" spans="1:14" x14ac:dyDescent="0.25">
      <c r="A60" t="s">
        <v>140</v>
      </c>
      <c r="B60" t="s">
        <v>9</v>
      </c>
      <c r="C60" t="s">
        <v>10</v>
      </c>
      <c r="D60" t="str">
        <f t="shared" si="0"/>
        <v>Emily Brown</v>
      </c>
      <c r="E60" t="s">
        <v>11</v>
      </c>
      <c r="F60" t="str">
        <f>_xlfn.XLOOKUP(E60,Lookup_Departments!$A$2:$A$7,Lookup_Departments!$B$2:$B$7)</f>
        <v>Information Technology</v>
      </c>
      <c r="G60" s="4">
        <v>45255</v>
      </c>
      <c r="H60" s="11">
        <v>2</v>
      </c>
      <c r="I60" s="8">
        <v>49435</v>
      </c>
      <c r="J60" s="11">
        <v>63.5</v>
      </c>
      <c r="K60" t="s">
        <v>30</v>
      </c>
      <c r="L60" t="str" cm="1">
        <f t="array" ref="L60">_xlfn.IFS(J60&lt;=49,"Needs Improvement",J60&lt;=69,"Developing",J60&lt;=84,"Achieving",J60&lt;=94,"Exceeding",J60&lt;=100,"Outstanding")</f>
        <v>Developing</v>
      </c>
      <c r="M60" s="13">
        <f>_xlfn.XLOOKUP(Transformed_Raw_Employee_Data!L60,Lookup_Performance!$C$2:$C$6,Lookup_Performance!$D$2:$D$6)</f>
        <v>0.02</v>
      </c>
      <c r="N60" s="8">
        <f t="shared" si="1"/>
        <v>988.7</v>
      </c>
    </row>
    <row r="61" spans="1:14" x14ac:dyDescent="0.25">
      <c r="A61" t="s">
        <v>141</v>
      </c>
      <c r="B61" t="s">
        <v>9</v>
      </c>
      <c r="C61" t="s">
        <v>36</v>
      </c>
      <c r="D61" t="str">
        <f t="shared" si="0"/>
        <v>Emily Wilson</v>
      </c>
      <c r="E61" t="s">
        <v>44</v>
      </c>
      <c r="F61" t="str">
        <f>_xlfn.XLOOKUP(E61,Lookup_Departments!$A$2:$A$7,Lookup_Departments!$B$2:$B$7)</f>
        <v>Sales</v>
      </c>
      <c r="G61" s="4">
        <v>45217</v>
      </c>
      <c r="H61" s="11">
        <v>2</v>
      </c>
      <c r="I61" s="8">
        <v>110381</v>
      </c>
      <c r="J61">
        <v>93</v>
      </c>
      <c r="K61" t="s">
        <v>45</v>
      </c>
      <c r="L61" t="str" cm="1">
        <f t="array" ref="L61">_xlfn.IFS(J61&lt;=49,"Needs Improvement",J61&lt;=69,"Developing",J61&lt;=84,"Achieving",J61&lt;=94,"Exceeding",J61&lt;=100,"Outstanding")</f>
        <v>Exceeding</v>
      </c>
      <c r="M61" s="13">
        <f>_xlfn.XLOOKUP(Transformed_Raw_Employee_Data!L61,Lookup_Performance!$C$2:$C$6,Lookup_Performance!$D$2:$D$6)</f>
        <v>0.08</v>
      </c>
      <c r="N61" s="8">
        <f t="shared" si="1"/>
        <v>8830.48</v>
      </c>
    </row>
    <row r="62" spans="1:14" x14ac:dyDescent="0.25">
      <c r="A62" t="s">
        <v>142</v>
      </c>
      <c r="B62" t="s">
        <v>43</v>
      </c>
      <c r="C62" t="s">
        <v>135</v>
      </c>
      <c r="D62" t="str">
        <f t="shared" si="0"/>
        <v>Michael Anderson</v>
      </c>
      <c r="E62" t="s">
        <v>97</v>
      </c>
      <c r="F62" t="str">
        <f>_xlfn.XLOOKUP(E62,Lookup_Departments!$A$2:$A$7,Lookup_Departments!$B$2:$B$7)</f>
        <v>Human Resources</v>
      </c>
      <c r="G62" s="4">
        <v>43960</v>
      </c>
      <c r="H62" s="11">
        <v>6</v>
      </c>
      <c r="I62" s="8">
        <v>114748</v>
      </c>
      <c r="J62">
        <v>33</v>
      </c>
      <c r="K62" t="s">
        <v>45</v>
      </c>
      <c r="L62" t="str" cm="1">
        <f t="array" ref="L62">_xlfn.IFS(J62&lt;=49,"Needs Improvement",J62&lt;=69,"Developing",J62&lt;=84,"Achieving",J62&lt;=94,"Exceeding",J62&lt;=100,"Outstanding")</f>
        <v>Needs Improvement</v>
      </c>
      <c r="M62" s="13">
        <f>_xlfn.XLOOKUP(Transformed_Raw_Employee_Data!L62,Lookup_Performance!$C$2:$C$6,Lookup_Performance!$D$2:$D$6)</f>
        <v>0</v>
      </c>
      <c r="N62" s="8">
        <f t="shared" si="1"/>
        <v>0</v>
      </c>
    </row>
    <row r="63" spans="1:14" x14ac:dyDescent="0.25">
      <c r="A63" t="s">
        <v>143</v>
      </c>
      <c r="B63" t="s">
        <v>59</v>
      </c>
      <c r="C63" t="s">
        <v>32</v>
      </c>
      <c r="D63" t="str">
        <f t="shared" si="0"/>
        <v>Robert Johnson</v>
      </c>
      <c r="E63" t="s">
        <v>33</v>
      </c>
      <c r="F63" t="str">
        <f>_xlfn.XLOOKUP(E63,Lookup_Departments!$A$2:$A$7,Lookup_Departments!$B$2:$B$7)</f>
        <v>Operations</v>
      </c>
      <c r="G63" s="4">
        <v>42889</v>
      </c>
      <c r="H63" s="11">
        <v>9</v>
      </c>
      <c r="I63" s="8">
        <v>63302</v>
      </c>
      <c r="J63">
        <v>91</v>
      </c>
      <c r="K63" t="s">
        <v>45</v>
      </c>
      <c r="L63" t="str" cm="1">
        <f t="array" ref="L63">_xlfn.IFS(J63&lt;=49,"Needs Improvement",J63&lt;=69,"Developing",J63&lt;=84,"Achieving",J63&lt;=94,"Exceeding",J63&lt;=100,"Outstanding")</f>
        <v>Exceeding</v>
      </c>
      <c r="M63" s="13">
        <f>_xlfn.XLOOKUP(Transformed_Raw_Employee_Data!L63,Lookup_Performance!$C$2:$C$6,Lookup_Performance!$D$2:$D$6)</f>
        <v>0.08</v>
      </c>
      <c r="N63" s="8">
        <f t="shared" si="1"/>
        <v>5064.16</v>
      </c>
    </row>
    <row r="64" spans="1:14" x14ac:dyDescent="0.25">
      <c r="A64" t="s">
        <v>144</v>
      </c>
      <c r="B64" t="s">
        <v>59</v>
      </c>
      <c r="C64" t="s">
        <v>47</v>
      </c>
      <c r="D64" t="str">
        <f t="shared" si="0"/>
        <v>Robert Miller</v>
      </c>
      <c r="E64" t="s">
        <v>11</v>
      </c>
      <c r="F64" t="str">
        <f>_xlfn.XLOOKUP(E64,Lookup_Departments!$A$2:$A$7,Lookup_Departments!$B$2:$B$7)</f>
        <v>Information Technology</v>
      </c>
      <c r="G64" s="4">
        <v>42122</v>
      </c>
      <c r="H64" s="11">
        <v>11</v>
      </c>
      <c r="I64" s="8">
        <v>75519</v>
      </c>
      <c r="J64">
        <v>64</v>
      </c>
      <c r="K64" t="s">
        <v>45</v>
      </c>
      <c r="L64" t="str" cm="1">
        <f t="array" ref="L64">_xlfn.IFS(J64&lt;=49,"Needs Improvement",J64&lt;=69,"Developing",J64&lt;=84,"Achieving",J64&lt;=94,"Exceeding",J64&lt;=100,"Outstanding")</f>
        <v>Developing</v>
      </c>
      <c r="M64" s="13">
        <f>_xlfn.XLOOKUP(Transformed_Raw_Employee_Data!L64,Lookup_Performance!$C$2:$C$6,Lookup_Performance!$D$2:$D$6)</f>
        <v>0.02</v>
      </c>
      <c r="N64" s="8">
        <f t="shared" si="1"/>
        <v>1510.38</v>
      </c>
    </row>
    <row r="65" spans="1:14" x14ac:dyDescent="0.25">
      <c r="A65" t="s">
        <v>146</v>
      </c>
      <c r="B65" t="s">
        <v>53</v>
      </c>
      <c r="C65" t="s">
        <v>64</v>
      </c>
      <c r="D65" t="str">
        <f t="shared" si="0"/>
        <v>Jane Davis</v>
      </c>
      <c r="E65" t="s">
        <v>26</v>
      </c>
      <c r="F65" t="str">
        <f>_xlfn.XLOOKUP(E65,Lookup_Departments!$A$2:$A$7,Lookup_Departments!$B$2:$B$7)</f>
        <v>Finance</v>
      </c>
      <c r="G65" s="4">
        <v>42838</v>
      </c>
      <c r="H65" s="11">
        <v>9</v>
      </c>
      <c r="I65" s="8">
        <v>103891</v>
      </c>
      <c r="J65">
        <v>80</v>
      </c>
      <c r="K65" t="s">
        <v>45</v>
      </c>
      <c r="L65" t="str" cm="1">
        <f t="array" ref="L65">_xlfn.IFS(J65&lt;=49,"Needs Improvement",J65&lt;=69,"Developing",J65&lt;=84,"Achieving",J65&lt;=94,"Exceeding",J65&lt;=100,"Outstanding")</f>
        <v>Achieving</v>
      </c>
      <c r="M65" s="13">
        <f>_xlfn.XLOOKUP(Transformed_Raw_Employee_Data!L65,Lookup_Performance!$C$2:$C$6,Lookup_Performance!$D$2:$D$6)</f>
        <v>0.05</v>
      </c>
      <c r="N65" s="8">
        <f t="shared" si="1"/>
        <v>5194.55</v>
      </c>
    </row>
    <row r="66" spans="1:14" x14ac:dyDescent="0.25">
      <c r="A66" t="s">
        <v>147</v>
      </c>
      <c r="B66" t="s">
        <v>28</v>
      </c>
      <c r="C66" t="s">
        <v>64</v>
      </c>
      <c r="D66" t="str">
        <f t="shared" si="0"/>
        <v>Thomas Davis</v>
      </c>
      <c r="E66" t="s">
        <v>33</v>
      </c>
      <c r="F66" t="str">
        <f>_xlfn.XLOOKUP(E66,Lookup_Departments!$A$2:$A$7,Lookup_Departments!$B$2:$B$7)</f>
        <v>Operations</v>
      </c>
      <c r="G66" s="4">
        <v>44827</v>
      </c>
      <c r="H66" s="11">
        <v>3</v>
      </c>
      <c r="I66" s="8">
        <v>74284.137931034493</v>
      </c>
      <c r="J66">
        <v>46</v>
      </c>
      <c r="K66" t="s">
        <v>30</v>
      </c>
      <c r="L66" t="str" cm="1">
        <f t="array" ref="L66">_xlfn.IFS(J66&lt;=49,"Needs Improvement",J66&lt;=69,"Developing",J66&lt;=84,"Achieving",J66&lt;=94,"Exceeding",J66&lt;=100,"Outstanding")</f>
        <v>Needs Improvement</v>
      </c>
      <c r="M66" s="13">
        <f>_xlfn.XLOOKUP(Transformed_Raw_Employee_Data!L66,Lookup_Performance!$C$2:$C$6,Lookup_Performance!$D$2:$D$6)</f>
        <v>0</v>
      </c>
      <c r="N66" s="8">
        <f t="shared" si="1"/>
        <v>0</v>
      </c>
    </row>
    <row r="67" spans="1:14" x14ac:dyDescent="0.25">
      <c r="A67" t="s">
        <v>148</v>
      </c>
      <c r="B67" t="s">
        <v>28</v>
      </c>
      <c r="C67" t="s">
        <v>60</v>
      </c>
      <c r="D67" t="str">
        <f t="shared" ref="D67:D130" si="4">_xlfn.TEXTJOIN(" ",TRUE,B67,C67)</f>
        <v>Thomas Jones</v>
      </c>
      <c r="E67" t="s">
        <v>16</v>
      </c>
      <c r="F67" t="str">
        <f>_xlfn.XLOOKUP(E67,Lookup_Departments!$A$2:$A$7,Lookup_Departments!$B$2:$B$7)</f>
        <v>Marketing</v>
      </c>
      <c r="G67" s="4">
        <v>42685</v>
      </c>
      <c r="H67" s="11">
        <v>9</v>
      </c>
      <c r="I67" s="8">
        <v>50936</v>
      </c>
      <c r="J67">
        <v>99</v>
      </c>
      <c r="K67" t="s">
        <v>45</v>
      </c>
      <c r="L67" t="str" cm="1">
        <f t="array" ref="L67">_xlfn.IFS(J67&lt;=49,"Needs Improvement",J67&lt;=69,"Developing",J67&lt;=84,"Achieving",J67&lt;=94,"Exceeding",J67&lt;=100,"Outstanding")</f>
        <v>Outstanding</v>
      </c>
      <c r="M67" s="13">
        <f>_xlfn.XLOOKUP(Transformed_Raw_Employee_Data!L67,Lookup_Performance!$C$2:$C$6,Lookup_Performance!$D$2:$D$6)</f>
        <v>0.12</v>
      </c>
      <c r="N67" s="8">
        <f t="shared" ref="N67:N130" si="5">I67*M67</f>
        <v>6112.32</v>
      </c>
    </row>
    <row r="68" spans="1:14" x14ac:dyDescent="0.25">
      <c r="A68" t="s">
        <v>151</v>
      </c>
      <c r="B68" t="s">
        <v>43</v>
      </c>
      <c r="C68" t="s">
        <v>47</v>
      </c>
      <c r="D68" t="str">
        <f t="shared" si="4"/>
        <v>Michael Miller</v>
      </c>
      <c r="E68" t="s">
        <v>44</v>
      </c>
      <c r="F68" t="str">
        <f>_xlfn.XLOOKUP(E68,Lookup_Departments!$A$2:$A$7,Lookup_Departments!$B$2:$B$7)</f>
        <v>Sales</v>
      </c>
      <c r="G68" s="4">
        <v>42818</v>
      </c>
      <c r="H68" s="11">
        <v>9</v>
      </c>
      <c r="I68" s="8">
        <v>111240</v>
      </c>
      <c r="J68">
        <v>62</v>
      </c>
      <c r="K68" t="s">
        <v>45</v>
      </c>
      <c r="L68" t="str" cm="1">
        <f t="array" ref="L68">_xlfn.IFS(J68&lt;=49,"Needs Improvement",J68&lt;=69,"Developing",J68&lt;=84,"Achieving",J68&lt;=94,"Exceeding",J68&lt;=100,"Outstanding")</f>
        <v>Developing</v>
      </c>
      <c r="M68" s="13">
        <f>_xlfn.XLOOKUP(Transformed_Raw_Employee_Data!L68,Lookup_Performance!$C$2:$C$6,Lookup_Performance!$D$2:$D$6)</f>
        <v>0.02</v>
      </c>
      <c r="N68" s="8">
        <f t="shared" si="5"/>
        <v>2224.8000000000002</v>
      </c>
    </row>
    <row r="69" spans="1:14" x14ac:dyDescent="0.25">
      <c r="A69" t="s">
        <v>154</v>
      </c>
      <c r="B69" t="s">
        <v>14</v>
      </c>
      <c r="C69" t="s">
        <v>19</v>
      </c>
      <c r="D69" t="str">
        <f t="shared" si="4"/>
        <v>Richard Gonzalez</v>
      </c>
      <c r="E69" t="s">
        <v>97</v>
      </c>
      <c r="F69" t="str">
        <f>_xlfn.XLOOKUP(E69,Lookup_Departments!$A$2:$A$7,Lookup_Departments!$B$2:$B$7)</f>
        <v>Human Resources</v>
      </c>
      <c r="G69" s="4">
        <v>43590</v>
      </c>
      <c r="H69" s="11">
        <v>7</v>
      </c>
      <c r="I69" s="8">
        <v>51567</v>
      </c>
      <c r="J69">
        <v>87</v>
      </c>
      <c r="K69" t="s">
        <v>116</v>
      </c>
      <c r="L69" t="str" cm="1">
        <f t="array" ref="L69">_xlfn.IFS(J69&lt;=49,"Needs Improvement",J69&lt;=69,"Developing",J69&lt;=84,"Achieving",J69&lt;=94,"Exceeding",J69&lt;=100,"Outstanding")</f>
        <v>Exceeding</v>
      </c>
      <c r="M69" s="13">
        <f>_xlfn.XLOOKUP(Transformed_Raw_Employee_Data!L69,Lookup_Performance!$C$2:$C$6,Lookup_Performance!$D$2:$D$6)</f>
        <v>0.08</v>
      </c>
      <c r="N69" s="8">
        <f t="shared" si="5"/>
        <v>4125.3599999999997</v>
      </c>
    </row>
    <row r="70" spans="1:14" x14ac:dyDescent="0.25">
      <c r="A70" t="s">
        <v>156</v>
      </c>
      <c r="B70" t="s">
        <v>105</v>
      </c>
      <c r="C70" t="s">
        <v>54</v>
      </c>
      <c r="D70" t="str">
        <f t="shared" si="4"/>
        <v>Melissa Williams</v>
      </c>
      <c r="E70" t="s">
        <v>97</v>
      </c>
      <c r="F70" t="str">
        <f>_xlfn.XLOOKUP(E70,Lookup_Departments!$A$2:$A$7,Lookup_Departments!$B$2:$B$7)</f>
        <v>Human Resources</v>
      </c>
      <c r="G70" s="4">
        <v>44402</v>
      </c>
      <c r="H70" s="11">
        <v>4</v>
      </c>
      <c r="I70" s="8">
        <v>80891.611111111095</v>
      </c>
      <c r="J70">
        <v>36</v>
      </c>
      <c r="K70" t="s">
        <v>45</v>
      </c>
      <c r="L70" t="str" cm="1">
        <f t="array" ref="L70">_xlfn.IFS(J70&lt;=49,"Needs Improvement",J70&lt;=69,"Developing",J70&lt;=84,"Achieving",J70&lt;=94,"Exceeding",J70&lt;=100,"Outstanding")</f>
        <v>Needs Improvement</v>
      </c>
      <c r="M70" s="13">
        <f>_xlfn.XLOOKUP(Transformed_Raw_Employee_Data!L70,Lookup_Performance!$C$2:$C$6,Lookup_Performance!$D$2:$D$6)</f>
        <v>0</v>
      </c>
      <c r="N70" s="8">
        <f t="shared" si="5"/>
        <v>0</v>
      </c>
    </row>
    <row r="71" spans="1:14" x14ac:dyDescent="0.25">
      <c r="A71" t="s">
        <v>158</v>
      </c>
      <c r="B71" t="s">
        <v>59</v>
      </c>
      <c r="C71" t="s">
        <v>47</v>
      </c>
      <c r="D71" t="str">
        <f t="shared" si="4"/>
        <v>Robert Miller</v>
      </c>
      <c r="E71" t="s">
        <v>97</v>
      </c>
      <c r="F71" t="str">
        <f>_xlfn.XLOOKUP(E71,Lookup_Departments!$A$2:$A$7,Lookup_Departments!$B$2:$B$7)</f>
        <v>Human Resources</v>
      </c>
      <c r="G71" s="4">
        <v>43008</v>
      </c>
      <c r="H71" s="11">
        <v>8</v>
      </c>
      <c r="I71" s="8">
        <v>55270</v>
      </c>
      <c r="J71">
        <v>87</v>
      </c>
      <c r="K71" t="s">
        <v>45</v>
      </c>
      <c r="L71" t="str" cm="1">
        <f t="array" ref="L71">_xlfn.IFS(J71&lt;=49,"Needs Improvement",J71&lt;=69,"Developing",J71&lt;=84,"Achieving",J71&lt;=94,"Exceeding",J71&lt;=100,"Outstanding")</f>
        <v>Exceeding</v>
      </c>
      <c r="M71" s="13">
        <f>_xlfn.XLOOKUP(Transformed_Raw_Employee_Data!L71,Lookup_Performance!$C$2:$C$6,Lookup_Performance!$D$2:$D$6)</f>
        <v>0.08</v>
      </c>
      <c r="N71" s="8">
        <f t="shared" si="5"/>
        <v>4421.6000000000004</v>
      </c>
    </row>
    <row r="72" spans="1:14" x14ac:dyDescent="0.25">
      <c r="A72" t="s">
        <v>159</v>
      </c>
      <c r="B72" t="s">
        <v>160</v>
      </c>
      <c r="C72" t="s">
        <v>133</v>
      </c>
      <c r="D72" t="str">
        <f t="shared" si="4"/>
        <v>William Garcia</v>
      </c>
      <c r="E72" t="s">
        <v>44</v>
      </c>
      <c r="F72" t="str">
        <f>_xlfn.XLOOKUP(E72,Lookup_Departments!$A$2:$A$7,Lookup_Departments!$B$2:$B$7)</f>
        <v>Sales</v>
      </c>
      <c r="G72" s="4">
        <v>42192</v>
      </c>
      <c r="H72" s="11">
        <v>10</v>
      </c>
      <c r="I72" s="8">
        <v>65235</v>
      </c>
      <c r="J72">
        <v>97</v>
      </c>
      <c r="K72" t="s">
        <v>45</v>
      </c>
      <c r="L72" t="str" cm="1">
        <f t="array" ref="L72">_xlfn.IFS(J72&lt;=49,"Needs Improvement",J72&lt;=69,"Developing",J72&lt;=84,"Achieving",J72&lt;=94,"Exceeding",J72&lt;=100,"Outstanding")</f>
        <v>Outstanding</v>
      </c>
      <c r="M72" s="13">
        <f>_xlfn.XLOOKUP(Transformed_Raw_Employee_Data!L72,Lookup_Performance!$C$2:$C$6,Lookup_Performance!$D$2:$D$6)</f>
        <v>0.12</v>
      </c>
      <c r="N72" s="8">
        <f t="shared" si="5"/>
        <v>7828.2</v>
      </c>
    </row>
    <row r="73" spans="1:14" x14ac:dyDescent="0.25">
      <c r="A73" t="s">
        <v>161</v>
      </c>
      <c r="B73" t="s">
        <v>24</v>
      </c>
      <c r="C73" t="s">
        <v>19</v>
      </c>
      <c r="D73" t="str">
        <f t="shared" si="4"/>
        <v>John Gonzalez</v>
      </c>
      <c r="E73" t="s">
        <v>44</v>
      </c>
      <c r="F73" t="str">
        <f>_xlfn.XLOOKUP(E73,Lookup_Departments!$A$2:$A$7,Lookup_Departments!$B$2:$B$7)</f>
        <v>Sales</v>
      </c>
      <c r="G73" s="4">
        <v>43138</v>
      </c>
      <c r="H73" s="11">
        <v>8</v>
      </c>
      <c r="I73" s="8">
        <v>64757.870967741903</v>
      </c>
      <c r="J73">
        <v>72</v>
      </c>
      <c r="K73" t="s">
        <v>30</v>
      </c>
      <c r="L73" t="str" cm="1">
        <f t="array" ref="L73">_xlfn.IFS(J73&lt;=49,"Needs Improvement",J73&lt;=69,"Developing",J73&lt;=84,"Achieving",J73&lt;=94,"Exceeding",J73&lt;=100,"Outstanding")</f>
        <v>Achieving</v>
      </c>
      <c r="M73" s="13">
        <f>_xlfn.XLOOKUP(Transformed_Raw_Employee_Data!L73,Lookup_Performance!$C$2:$C$6,Lookup_Performance!$D$2:$D$6)</f>
        <v>0.05</v>
      </c>
      <c r="N73" s="8">
        <f t="shared" si="5"/>
        <v>3237.8935483870955</v>
      </c>
    </row>
    <row r="74" spans="1:14" x14ac:dyDescent="0.25">
      <c r="A74" t="s">
        <v>162</v>
      </c>
      <c r="B74" t="s">
        <v>66</v>
      </c>
      <c r="C74" t="s">
        <v>19</v>
      </c>
      <c r="D74" t="str">
        <f t="shared" si="4"/>
        <v>James Gonzalez</v>
      </c>
      <c r="E74" t="s">
        <v>44</v>
      </c>
      <c r="F74" t="str">
        <f>_xlfn.XLOOKUP(E74,Lookup_Departments!$A$2:$A$7,Lookup_Departments!$B$2:$B$7)</f>
        <v>Sales</v>
      </c>
      <c r="G74" s="4">
        <v>44819</v>
      </c>
      <c r="H74" s="11">
        <v>3</v>
      </c>
      <c r="I74" s="8">
        <v>64757.870967741903</v>
      </c>
      <c r="J74">
        <v>65</v>
      </c>
      <c r="K74" t="s">
        <v>30</v>
      </c>
      <c r="L74" t="str" cm="1">
        <f t="array" ref="L74">_xlfn.IFS(J74&lt;=49,"Needs Improvement",J74&lt;=69,"Developing",J74&lt;=84,"Achieving",J74&lt;=94,"Exceeding",J74&lt;=100,"Outstanding")</f>
        <v>Developing</v>
      </c>
      <c r="M74" s="13">
        <f>_xlfn.XLOOKUP(Transformed_Raw_Employee_Data!L74,Lookup_Performance!$C$2:$C$6,Lookup_Performance!$D$2:$D$6)</f>
        <v>0.02</v>
      </c>
      <c r="N74" s="8">
        <f t="shared" si="5"/>
        <v>1295.1574193548381</v>
      </c>
    </row>
    <row r="75" spans="1:14" x14ac:dyDescent="0.25">
      <c r="A75" t="s">
        <v>163</v>
      </c>
      <c r="B75" t="s">
        <v>53</v>
      </c>
      <c r="C75" t="s">
        <v>19</v>
      </c>
      <c r="D75" t="str">
        <f t="shared" si="4"/>
        <v>Jane Gonzalez</v>
      </c>
      <c r="E75" t="s">
        <v>44</v>
      </c>
      <c r="F75" t="str">
        <f>_xlfn.XLOOKUP(E75,Lookup_Departments!$A$2:$A$7,Lookup_Departments!$B$2:$B$7)</f>
        <v>Sales</v>
      </c>
      <c r="G75" s="4">
        <v>42044</v>
      </c>
      <c r="H75" s="11">
        <v>11</v>
      </c>
      <c r="I75" s="8">
        <v>64757.870967741903</v>
      </c>
      <c r="J75">
        <v>67</v>
      </c>
      <c r="K75" t="s">
        <v>45</v>
      </c>
      <c r="L75" t="str" cm="1">
        <f t="array" ref="L75">_xlfn.IFS(J75&lt;=49,"Needs Improvement",J75&lt;=69,"Developing",J75&lt;=84,"Achieving",J75&lt;=94,"Exceeding",J75&lt;=100,"Outstanding")</f>
        <v>Developing</v>
      </c>
      <c r="M75" s="13">
        <f>_xlfn.XLOOKUP(Transformed_Raw_Employee_Data!L75,Lookup_Performance!$C$2:$C$6,Lookup_Performance!$D$2:$D$6)</f>
        <v>0.02</v>
      </c>
      <c r="N75" s="8">
        <f t="shared" si="5"/>
        <v>1295.1574193548381</v>
      </c>
    </row>
    <row r="76" spans="1:14" x14ac:dyDescent="0.25">
      <c r="A76" t="s">
        <v>164</v>
      </c>
      <c r="B76" t="s">
        <v>113</v>
      </c>
      <c r="C76" t="s">
        <v>36</v>
      </c>
      <c r="D76" t="str">
        <f t="shared" si="4"/>
        <v>David Wilson</v>
      </c>
      <c r="E76" t="s">
        <v>33</v>
      </c>
      <c r="F76" t="str">
        <f>_xlfn.XLOOKUP(E76,Lookup_Departments!$A$2:$A$7,Lookup_Departments!$B$2:$B$7)</f>
        <v>Operations</v>
      </c>
      <c r="G76" s="4">
        <v>42684</v>
      </c>
      <c r="H76" s="11">
        <v>9</v>
      </c>
      <c r="I76" s="8">
        <v>48823</v>
      </c>
      <c r="J76">
        <v>34</v>
      </c>
      <c r="K76" t="s">
        <v>45</v>
      </c>
      <c r="L76" t="str" cm="1">
        <f t="array" ref="L76">_xlfn.IFS(J76&lt;=49,"Needs Improvement",J76&lt;=69,"Developing",J76&lt;=84,"Achieving",J76&lt;=94,"Exceeding",J76&lt;=100,"Outstanding")</f>
        <v>Needs Improvement</v>
      </c>
      <c r="M76" s="13">
        <f>_xlfn.XLOOKUP(Transformed_Raw_Employee_Data!L76,Lookup_Performance!$C$2:$C$6,Lookup_Performance!$D$2:$D$6)</f>
        <v>0</v>
      </c>
      <c r="N76" s="8">
        <f t="shared" si="5"/>
        <v>0</v>
      </c>
    </row>
    <row r="77" spans="1:14" x14ac:dyDescent="0.25">
      <c r="A77" t="s">
        <v>167</v>
      </c>
      <c r="B77" t="s">
        <v>53</v>
      </c>
      <c r="C77" t="s">
        <v>19</v>
      </c>
      <c r="D77" t="str">
        <f t="shared" si="4"/>
        <v>Jane Gonzalez</v>
      </c>
      <c r="E77" t="s">
        <v>26</v>
      </c>
      <c r="F77" t="str">
        <f>_xlfn.XLOOKUP(E77,Lookup_Departments!$A$2:$A$7,Lookup_Departments!$B$2:$B$7)</f>
        <v>Finance</v>
      </c>
      <c r="G77" s="4">
        <v>43575</v>
      </c>
      <c r="H77" s="11">
        <v>7</v>
      </c>
      <c r="I77" s="8">
        <v>45196</v>
      </c>
      <c r="J77">
        <v>78</v>
      </c>
      <c r="K77" t="s">
        <v>30</v>
      </c>
      <c r="L77" t="str" cm="1">
        <f t="array" ref="L77">_xlfn.IFS(J77&lt;=49,"Needs Improvement",J77&lt;=69,"Developing",J77&lt;=84,"Achieving",J77&lt;=94,"Exceeding",J77&lt;=100,"Outstanding")</f>
        <v>Achieving</v>
      </c>
      <c r="M77" s="13">
        <f>_xlfn.XLOOKUP(Transformed_Raw_Employee_Data!L77,Lookup_Performance!$C$2:$C$6,Lookup_Performance!$D$2:$D$6)</f>
        <v>0.05</v>
      </c>
      <c r="N77" s="8">
        <f t="shared" si="5"/>
        <v>2259.8000000000002</v>
      </c>
    </row>
    <row r="78" spans="1:14" x14ac:dyDescent="0.25">
      <c r="A78" t="s">
        <v>168</v>
      </c>
      <c r="B78" t="s">
        <v>53</v>
      </c>
      <c r="C78" t="s">
        <v>41</v>
      </c>
      <c r="D78" t="str">
        <f t="shared" si="4"/>
        <v>Jane Rodriguez</v>
      </c>
      <c r="E78" t="s">
        <v>11</v>
      </c>
      <c r="F78" t="str">
        <f>_xlfn.XLOOKUP(E78,Lookup_Departments!$A$2:$A$7,Lookup_Departments!$B$2:$B$7)</f>
        <v>Information Technology</v>
      </c>
      <c r="G78" s="4">
        <v>42785</v>
      </c>
      <c r="H78" s="11">
        <v>9</v>
      </c>
      <c r="I78" s="8">
        <v>86246</v>
      </c>
      <c r="J78">
        <v>61</v>
      </c>
      <c r="K78" t="s">
        <v>45</v>
      </c>
      <c r="L78" t="str" cm="1">
        <f t="array" ref="L78">_xlfn.IFS(J78&lt;=49,"Needs Improvement",J78&lt;=69,"Developing",J78&lt;=84,"Achieving",J78&lt;=94,"Exceeding",J78&lt;=100,"Outstanding")</f>
        <v>Developing</v>
      </c>
      <c r="M78" s="13">
        <f>_xlfn.XLOOKUP(Transformed_Raw_Employee_Data!L78,Lookup_Performance!$C$2:$C$6,Lookup_Performance!$D$2:$D$6)</f>
        <v>0.02</v>
      </c>
      <c r="N78" s="8">
        <f t="shared" si="5"/>
        <v>1724.92</v>
      </c>
    </row>
    <row r="79" spans="1:14" x14ac:dyDescent="0.25">
      <c r="A79" t="s">
        <v>171</v>
      </c>
      <c r="B79" t="s">
        <v>9</v>
      </c>
      <c r="C79" t="s">
        <v>47</v>
      </c>
      <c r="D79" t="str">
        <f t="shared" si="4"/>
        <v>Emily Miller</v>
      </c>
      <c r="E79" t="s">
        <v>44</v>
      </c>
      <c r="F79" t="str">
        <f>_xlfn.XLOOKUP(E79,Lookup_Departments!$A$2:$A$7,Lookup_Departments!$B$2:$B$7)</f>
        <v>Sales</v>
      </c>
      <c r="G79" s="4">
        <v>44386</v>
      </c>
      <c r="H79" s="11">
        <v>4</v>
      </c>
      <c r="I79" s="8">
        <v>70359</v>
      </c>
      <c r="J79">
        <v>74</v>
      </c>
      <c r="K79" t="s">
        <v>30</v>
      </c>
      <c r="L79" t="str" cm="1">
        <f t="array" ref="L79">_xlfn.IFS(J79&lt;=49,"Needs Improvement",J79&lt;=69,"Developing",J79&lt;=84,"Achieving",J79&lt;=94,"Exceeding",J79&lt;=100,"Outstanding")</f>
        <v>Achieving</v>
      </c>
      <c r="M79" s="13">
        <f>_xlfn.XLOOKUP(Transformed_Raw_Employee_Data!L79,Lookup_Performance!$C$2:$C$6,Lookup_Performance!$D$2:$D$6)</f>
        <v>0.05</v>
      </c>
      <c r="N79" s="8">
        <f t="shared" si="5"/>
        <v>3517.9500000000003</v>
      </c>
    </row>
    <row r="80" spans="1:14" x14ac:dyDescent="0.25">
      <c r="A80" t="s">
        <v>173</v>
      </c>
      <c r="B80" t="s">
        <v>94</v>
      </c>
      <c r="C80" t="s">
        <v>47</v>
      </c>
      <c r="D80" t="str">
        <f t="shared" si="4"/>
        <v>Sarah Miller</v>
      </c>
      <c r="E80" t="s">
        <v>16</v>
      </c>
      <c r="F80" t="str">
        <f>_xlfn.XLOOKUP(E80,Lookup_Departments!$A$2:$A$7,Lookup_Departments!$B$2:$B$7)</f>
        <v>Marketing</v>
      </c>
      <c r="G80" s="4">
        <v>43599</v>
      </c>
      <c r="H80" s="11">
        <v>7</v>
      </c>
      <c r="I80" s="8">
        <v>81007.736842105296</v>
      </c>
      <c r="J80">
        <v>94</v>
      </c>
      <c r="K80" t="s">
        <v>45</v>
      </c>
      <c r="L80" t="str" cm="1">
        <f t="array" ref="L80">_xlfn.IFS(J80&lt;=49,"Needs Improvement",J80&lt;=69,"Developing",J80&lt;=84,"Achieving",J80&lt;=94,"Exceeding",J80&lt;=100,"Outstanding")</f>
        <v>Exceeding</v>
      </c>
      <c r="M80" s="13">
        <f>_xlfn.XLOOKUP(Transformed_Raw_Employee_Data!L80,Lookup_Performance!$C$2:$C$6,Lookup_Performance!$D$2:$D$6)</f>
        <v>0.08</v>
      </c>
      <c r="N80" s="8">
        <f t="shared" si="5"/>
        <v>6480.6189473684235</v>
      </c>
    </row>
    <row r="81" spans="1:14" x14ac:dyDescent="0.25">
      <c r="A81" t="s">
        <v>174</v>
      </c>
      <c r="B81" t="s">
        <v>39</v>
      </c>
      <c r="C81" t="s">
        <v>133</v>
      </c>
      <c r="D81" t="str">
        <f t="shared" si="4"/>
        <v>Jessica Garcia</v>
      </c>
      <c r="E81" t="s">
        <v>33</v>
      </c>
      <c r="F81" t="str">
        <f>_xlfn.XLOOKUP(E81,Lookup_Departments!$A$2:$A$7,Lookup_Departments!$B$2:$B$7)</f>
        <v>Operations</v>
      </c>
      <c r="G81" s="4">
        <v>42330</v>
      </c>
      <c r="H81" s="11">
        <v>10</v>
      </c>
      <c r="I81" s="8">
        <v>86480</v>
      </c>
      <c r="J81">
        <v>63</v>
      </c>
      <c r="K81" t="s">
        <v>45</v>
      </c>
      <c r="L81" t="str" cm="1">
        <f t="array" ref="L81">_xlfn.IFS(J81&lt;=49,"Needs Improvement",J81&lt;=69,"Developing",J81&lt;=84,"Achieving",J81&lt;=94,"Exceeding",J81&lt;=100,"Outstanding")</f>
        <v>Developing</v>
      </c>
      <c r="M81" s="13">
        <f>_xlfn.XLOOKUP(Transformed_Raw_Employee_Data!L81,Lookup_Performance!$C$2:$C$6,Lookup_Performance!$D$2:$D$6)</f>
        <v>0.02</v>
      </c>
      <c r="N81" s="8">
        <f t="shared" si="5"/>
        <v>1729.6000000000001</v>
      </c>
    </row>
    <row r="82" spans="1:14" x14ac:dyDescent="0.25">
      <c r="A82" t="s">
        <v>175</v>
      </c>
      <c r="B82" t="s">
        <v>14</v>
      </c>
      <c r="C82" t="s">
        <v>29</v>
      </c>
      <c r="D82" t="str">
        <f t="shared" si="4"/>
        <v>Richard Smith</v>
      </c>
      <c r="E82" t="s">
        <v>97</v>
      </c>
      <c r="F82" t="str">
        <f>_xlfn.XLOOKUP(E82,Lookup_Departments!$A$2:$A$7,Lookup_Departments!$B$2:$B$7)</f>
        <v>Human Resources</v>
      </c>
      <c r="G82" s="4">
        <v>43372</v>
      </c>
      <c r="H82" s="11">
        <v>7</v>
      </c>
      <c r="I82" s="8">
        <v>47694</v>
      </c>
      <c r="J82">
        <v>75</v>
      </c>
      <c r="K82" t="s">
        <v>45</v>
      </c>
      <c r="L82" t="str" cm="1">
        <f t="array" ref="L82">_xlfn.IFS(J82&lt;=49,"Needs Improvement",J82&lt;=69,"Developing",J82&lt;=84,"Achieving",J82&lt;=94,"Exceeding",J82&lt;=100,"Outstanding")</f>
        <v>Achieving</v>
      </c>
      <c r="M82" s="13">
        <f>_xlfn.XLOOKUP(Transformed_Raw_Employee_Data!L82,Lookup_Performance!$C$2:$C$6,Lookup_Performance!$D$2:$D$6)</f>
        <v>0.05</v>
      </c>
      <c r="N82" s="8">
        <f t="shared" si="5"/>
        <v>2384.7000000000003</v>
      </c>
    </row>
    <row r="83" spans="1:14" x14ac:dyDescent="0.25">
      <c r="A83" t="s">
        <v>178</v>
      </c>
      <c r="B83" t="s">
        <v>105</v>
      </c>
      <c r="C83" t="s">
        <v>36</v>
      </c>
      <c r="D83" t="str">
        <f t="shared" si="4"/>
        <v>Melissa Wilson</v>
      </c>
      <c r="E83" t="s">
        <v>11</v>
      </c>
      <c r="F83" t="str">
        <f>_xlfn.XLOOKUP(E83,Lookup_Departments!$A$2:$A$7,Lookup_Departments!$B$2:$B$7)</f>
        <v>Information Technology</v>
      </c>
      <c r="G83" s="4">
        <v>44966</v>
      </c>
      <c r="H83" s="11">
        <v>3</v>
      </c>
      <c r="I83" s="8">
        <v>83724</v>
      </c>
      <c r="J83">
        <v>81</v>
      </c>
      <c r="K83" t="s">
        <v>116</v>
      </c>
      <c r="L83" t="str" cm="1">
        <f t="array" ref="L83">_xlfn.IFS(J83&lt;=49,"Needs Improvement",J83&lt;=69,"Developing",J83&lt;=84,"Achieving",J83&lt;=94,"Exceeding",J83&lt;=100,"Outstanding")</f>
        <v>Achieving</v>
      </c>
      <c r="M83" s="13">
        <f>_xlfn.XLOOKUP(Transformed_Raw_Employee_Data!L83,Lookup_Performance!$C$2:$C$6,Lookup_Performance!$D$2:$D$6)</f>
        <v>0.05</v>
      </c>
      <c r="N83" s="8">
        <f t="shared" si="5"/>
        <v>4186.2</v>
      </c>
    </row>
    <row r="84" spans="1:14" x14ac:dyDescent="0.25">
      <c r="A84" t="s">
        <v>179</v>
      </c>
      <c r="B84" t="s">
        <v>28</v>
      </c>
      <c r="C84" t="s">
        <v>54</v>
      </c>
      <c r="D84" t="str">
        <f t="shared" si="4"/>
        <v>Thomas Williams</v>
      </c>
      <c r="E84" t="s">
        <v>26</v>
      </c>
      <c r="F84" t="str">
        <f>_xlfn.XLOOKUP(E84,Lookup_Departments!$A$2:$A$7,Lookup_Departments!$B$2:$B$7)</f>
        <v>Finance</v>
      </c>
      <c r="G84" s="4">
        <v>44759</v>
      </c>
      <c r="H84" s="11">
        <v>3</v>
      </c>
      <c r="I84" s="8">
        <v>98299</v>
      </c>
      <c r="J84">
        <v>61</v>
      </c>
      <c r="K84" t="s">
        <v>45</v>
      </c>
      <c r="L84" t="str" cm="1">
        <f t="array" ref="L84">_xlfn.IFS(J84&lt;=49,"Needs Improvement",J84&lt;=69,"Developing",J84&lt;=84,"Achieving",J84&lt;=94,"Exceeding",J84&lt;=100,"Outstanding")</f>
        <v>Developing</v>
      </c>
      <c r="M84" s="13">
        <f>_xlfn.XLOOKUP(Transformed_Raw_Employee_Data!L84,Lookup_Performance!$C$2:$C$6,Lookup_Performance!$D$2:$D$6)</f>
        <v>0.02</v>
      </c>
      <c r="N84" s="8">
        <f t="shared" si="5"/>
        <v>1965.98</v>
      </c>
    </row>
    <row r="85" spans="1:14" x14ac:dyDescent="0.25">
      <c r="A85" t="s">
        <v>180</v>
      </c>
      <c r="B85" t="s">
        <v>113</v>
      </c>
      <c r="C85" t="s">
        <v>54</v>
      </c>
      <c r="D85" t="str">
        <f t="shared" si="4"/>
        <v>David Williams</v>
      </c>
      <c r="E85" t="s">
        <v>26</v>
      </c>
      <c r="F85" t="str">
        <f>_xlfn.XLOOKUP(E85,Lookup_Departments!$A$2:$A$7,Lookup_Departments!$B$2:$B$7)</f>
        <v>Finance</v>
      </c>
      <c r="G85" s="4">
        <v>44379</v>
      </c>
      <c r="H85" s="11">
        <v>5</v>
      </c>
      <c r="I85" s="8">
        <v>72419.941176470602</v>
      </c>
      <c r="J85">
        <v>68</v>
      </c>
      <c r="K85" t="s">
        <v>45</v>
      </c>
      <c r="L85" t="str" cm="1">
        <f t="array" ref="L85">_xlfn.IFS(J85&lt;=49,"Needs Improvement",J85&lt;=69,"Developing",J85&lt;=84,"Achieving",J85&lt;=94,"Exceeding",J85&lt;=100,"Outstanding")</f>
        <v>Developing</v>
      </c>
      <c r="M85" s="13">
        <f>_xlfn.XLOOKUP(Transformed_Raw_Employee_Data!L85,Lookup_Performance!$C$2:$C$6,Lookup_Performance!$D$2:$D$6)</f>
        <v>0.02</v>
      </c>
      <c r="N85" s="8">
        <f t="shared" si="5"/>
        <v>1448.3988235294121</v>
      </c>
    </row>
    <row r="86" spans="1:14" x14ac:dyDescent="0.25">
      <c r="A86" t="s">
        <v>182</v>
      </c>
      <c r="B86" t="s">
        <v>24</v>
      </c>
      <c r="C86" t="s">
        <v>32</v>
      </c>
      <c r="D86" t="str">
        <f t="shared" si="4"/>
        <v>John Johnson</v>
      </c>
      <c r="E86" t="s">
        <v>11</v>
      </c>
      <c r="F86" t="str">
        <f>_xlfn.XLOOKUP(E86,Lookup_Departments!$A$2:$A$7,Lookup_Departments!$B$2:$B$7)</f>
        <v>Information Technology</v>
      </c>
      <c r="G86" s="4">
        <v>45026</v>
      </c>
      <c r="H86" s="11">
        <v>3</v>
      </c>
      <c r="I86" s="8">
        <v>52287</v>
      </c>
      <c r="J86">
        <v>70</v>
      </c>
      <c r="K86" t="s">
        <v>45</v>
      </c>
      <c r="L86" t="str" cm="1">
        <f t="array" ref="L86">_xlfn.IFS(J86&lt;=49,"Needs Improvement",J86&lt;=69,"Developing",J86&lt;=84,"Achieving",J86&lt;=94,"Exceeding",J86&lt;=100,"Outstanding")</f>
        <v>Achieving</v>
      </c>
      <c r="M86" s="13">
        <f>_xlfn.XLOOKUP(Transformed_Raw_Employee_Data!L86,Lookup_Performance!$C$2:$C$6,Lookup_Performance!$D$2:$D$6)</f>
        <v>0.05</v>
      </c>
      <c r="N86" s="8">
        <f t="shared" si="5"/>
        <v>2614.3500000000004</v>
      </c>
    </row>
    <row r="87" spans="1:14" x14ac:dyDescent="0.25">
      <c r="A87" t="s">
        <v>184</v>
      </c>
      <c r="B87" t="s">
        <v>14</v>
      </c>
      <c r="C87" t="s">
        <v>19</v>
      </c>
      <c r="D87" t="str">
        <f t="shared" si="4"/>
        <v>Richard Gonzalez</v>
      </c>
      <c r="E87" t="s">
        <v>11</v>
      </c>
      <c r="F87" t="str">
        <f>_xlfn.XLOOKUP(E87,Lookup_Departments!$A$2:$A$7,Lookup_Departments!$B$2:$B$7)</f>
        <v>Information Technology</v>
      </c>
      <c r="G87" s="4">
        <v>44073</v>
      </c>
      <c r="H87" s="11">
        <v>5</v>
      </c>
      <c r="I87" s="8">
        <v>82633</v>
      </c>
      <c r="J87">
        <v>98</v>
      </c>
      <c r="K87" t="s">
        <v>45</v>
      </c>
      <c r="L87" t="str" cm="1">
        <f t="array" ref="L87">_xlfn.IFS(J87&lt;=49,"Needs Improvement",J87&lt;=69,"Developing",J87&lt;=84,"Achieving",J87&lt;=94,"Exceeding",J87&lt;=100,"Outstanding")</f>
        <v>Outstanding</v>
      </c>
      <c r="M87" s="13">
        <f>_xlfn.XLOOKUP(Transformed_Raw_Employee_Data!L87,Lookup_Performance!$C$2:$C$6,Lookup_Performance!$D$2:$D$6)</f>
        <v>0.12</v>
      </c>
      <c r="N87" s="8">
        <f t="shared" si="5"/>
        <v>9915.9599999999991</v>
      </c>
    </row>
    <row r="88" spans="1:14" x14ac:dyDescent="0.25">
      <c r="A88" t="s">
        <v>185</v>
      </c>
      <c r="B88" t="s">
        <v>105</v>
      </c>
      <c r="C88" t="s">
        <v>135</v>
      </c>
      <c r="D88" t="str">
        <f t="shared" si="4"/>
        <v>Melissa Anderson</v>
      </c>
      <c r="E88" t="s">
        <v>33</v>
      </c>
      <c r="F88" t="str">
        <f>_xlfn.XLOOKUP(E88,Lookup_Departments!$A$2:$A$7,Lookup_Departments!$B$2:$B$7)</f>
        <v>Operations</v>
      </c>
      <c r="G88" s="4">
        <v>44422</v>
      </c>
      <c r="H88" s="11">
        <v>4</v>
      </c>
      <c r="I88" s="8">
        <v>46508</v>
      </c>
      <c r="J88">
        <v>34</v>
      </c>
      <c r="K88" t="s">
        <v>45</v>
      </c>
      <c r="L88" t="str" cm="1">
        <f t="array" ref="L88">_xlfn.IFS(J88&lt;=49,"Needs Improvement",J88&lt;=69,"Developing",J88&lt;=84,"Achieving",J88&lt;=94,"Exceeding",J88&lt;=100,"Outstanding")</f>
        <v>Needs Improvement</v>
      </c>
      <c r="M88" s="13">
        <f>_xlfn.XLOOKUP(Transformed_Raw_Employee_Data!L88,Lookup_Performance!$C$2:$C$6,Lookup_Performance!$D$2:$D$6)</f>
        <v>0</v>
      </c>
      <c r="N88" s="8">
        <f t="shared" si="5"/>
        <v>0</v>
      </c>
    </row>
    <row r="89" spans="1:14" x14ac:dyDescent="0.25">
      <c r="A89" t="s">
        <v>186</v>
      </c>
      <c r="B89" t="s">
        <v>9</v>
      </c>
      <c r="C89" t="s">
        <v>19</v>
      </c>
      <c r="D89" t="str">
        <f t="shared" si="4"/>
        <v>Emily Gonzalez</v>
      </c>
      <c r="E89" t="s">
        <v>97</v>
      </c>
      <c r="F89" t="str">
        <f>_xlfn.XLOOKUP(E89,Lookup_Departments!$A$2:$A$7,Lookup_Departments!$B$2:$B$7)</f>
        <v>Human Resources</v>
      </c>
      <c r="G89" s="4">
        <v>43796</v>
      </c>
      <c r="H89" s="11">
        <v>6</v>
      </c>
      <c r="I89" s="8">
        <v>86232</v>
      </c>
      <c r="J89">
        <v>93</v>
      </c>
      <c r="K89" t="s">
        <v>45</v>
      </c>
      <c r="L89" t="str" cm="1">
        <f t="array" ref="L89">_xlfn.IFS(J89&lt;=49,"Needs Improvement",J89&lt;=69,"Developing",J89&lt;=84,"Achieving",J89&lt;=94,"Exceeding",J89&lt;=100,"Outstanding")</f>
        <v>Exceeding</v>
      </c>
      <c r="M89" s="13">
        <f>_xlfn.XLOOKUP(Transformed_Raw_Employee_Data!L89,Lookup_Performance!$C$2:$C$6,Lookup_Performance!$D$2:$D$6)</f>
        <v>0.08</v>
      </c>
      <c r="N89" s="8">
        <f t="shared" si="5"/>
        <v>6898.56</v>
      </c>
    </row>
    <row r="90" spans="1:14" x14ac:dyDescent="0.25">
      <c r="A90" t="s">
        <v>188</v>
      </c>
      <c r="B90" t="s">
        <v>53</v>
      </c>
      <c r="C90" t="s">
        <v>64</v>
      </c>
      <c r="D90" t="str">
        <f t="shared" si="4"/>
        <v>Jane Davis</v>
      </c>
      <c r="E90" t="s">
        <v>11</v>
      </c>
      <c r="F90" t="str">
        <f>_xlfn.XLOOKUP(E90,Lookup_Departments!$A$2:$A$7,Lookup_Departments!$B$2:$B$7)</f>
        <v>Information Technology</v>
      </c>
      <c r="G90" s="4">
        <v>42880</v>
      </c>
      <c r="H90" s="11">
        <v>9</v>
      </c>
      <c r="I90" s="8">
        <v>77545</v>
      </c>
      <c r="J90">
        <v>48</v>
      </c>
      <c r="K90" t="s">
        <v>45</v>
      </c>
      <c r="L90" t="str" cm="1">
        <f t="array" ref="L90">_xlfn.IFS(J90&lt;=49,"Needs Improvement",J90&lt;=69,"Developing",J90&lt;=84,"Achieving",J90&lt;=94,"Exceeding",J90&lt;=100,"Outstanding")</f>
        <v>Needs Improvement</v>
      </c>
      <c r="M90" s="13">
        <f>_xlfn.XLOOKUP(Transformed_Raw_Employee_Data!L90,Lookup_Performance!$C$2:$C$6,Lookup_Performance!$D$2:$D$6)</f>
        <v>0</v>
      </c>
      <c r="N90" s="8">
        <f t="shared" si="5"/>
        <v>0</v>
      </c>
    </row>
    <row r="91" spans="1:14" x14ac:dyDescent="0.25">
      <c r="A91" t="s">
        <v>191</v>
      </c>
      <c r="B91" t="s">
        <v>160</v>
      </c>
      <c r="C91" t="s">
        <v>19</v>
      </c>
      <c r="D91" t="str">
        <f t="shared" si="4"/>
        <v>William Gonzalez</v>
      </c>
      <c r="E91" t="s">
        <v>33</v>
      </c>
      <c r="F91" t="str">
        <f>_xlfn.XLOOKUP(E91,Lookup_Departments!$A$2:$A$7,Lookup_Departments!$B$2:$B$7)</f>
        <v>Operations</v>
      </c>
      <c r="G91" s="4">
        <v>43143</v>
      </c>
      <c r="H91" s="11">
        <v>8</v>
      </c>
      <c r="I91" s="8">
        <v>68683</v>
      </c>
      <c r="J91">
        <v>90</v>
      </c>
      <c r="K91" t="s">
        <v>45</v>
      </c>
      <c r="L91" t="str" cm="1">
        <f t="array" ref="L91">_xlfn.IFS(J91&lt;=49,"Needs Improvement",J91&lt;=69,"Developing",J91&lt;=84,"Achieving",J91&lt;=94,"Exceeding",J91&lt;=100,"Outstanding")</f>
        <v>Exceeding</v>
      </c>
      <c r="M91" s="13">
        <f>_xlfn.XLOOKUP(Transformed_Raw_Employee_Data!L91,Lookup_Performance!$C$2:$C$6,Lookup_Performance!$D$2:$D$6)</f>
        <v>0.08</v>
      </c>
      <c r="N91" s="8">
        <f t="shared" si="5"/>
        <v>5494.64</v>
      </c>
    </row>
    <row r="92" spans="1:14" x14ac:dyDescent="0.25">
      <c r="A92" t="s">
        <v>192</v>
      </c>
      <c r="B92" t="s">
        <v>28</v>
      </c>
      <c r="C92" t="s">
        <v>60</v>
      </c>
      <c r="D92" t="str">
        <f t="shared" si="4"/>
        <v>Thomas Jones</v>
      </c>
      <c r="E92" t="s">
        <v>26</v>
      </c>
      <c r="F92" t="str">
        <f>_xlfn.XLOOKUP(E92,Lookup_Departments!$A$2:$A$7,Lookup_Departments!$B$2:$B$7)</f>
        <v>Finance</v>
      </c>
      <c r="G92" s="4">
        <v>43639</v>
      </c>
      <c r="H92" s="11">
        <v>7</v>
      </c>
      <c r="I92" s="8">
        <v>83932</v>
      </c>
      <c r="J92">
        <v>57</v>
      </c>
      <c r="K92" t="s">
        <v>30</v>
      </c>
      <c r="L92" t="str" cm="1">
        <f t="array" ref="L92">_xlfn.IFS(J92&lt;=49,"Needs Improvement",J92&lt;=69,"Developing",J92&lt;=84,"Achieving",J92&lt;=94,"Exceeding",J92&lt;=100,"Outstanding")</f>
        <v>Developing</v>
      </c>
      <c r="M92" s="13">
        <f>_xlfn.XLOOKUP(Transformed_Raw_Employee_Data!L92,Lookup_Performance!$C$2:$C$6,Lookup_Performance!$D$2:$D$6)</f>
        <v>0.02</v>
      </c>
      <c r="N92" s="8">
        <f t="shared" si="5"/>
        <v>1678.64</v>
      </c>
    </row>
    <row r="93" spans="1:14" x14ac:dyDescent="0.25">
      <c r="A93" t="s">
        <v>193</v>
      </c>
      <c r="B93" t="s">
        <v>39</v>
      </c>
      <c r="C93" t="s">
        <v>135</v>
      </c>
      <c r="D93" t="str">
        <f t="shared" si="4"/>
        <v>Jessica Anderson</v>
      </c>
      <c r="E93" t="s">
        <v>97</v>
      </c>
      <c r="F93" t="str">
        <f>_xlfn.XLOOKUP(E93,Lookup_Departments!$A$2:$A$7,Lookup_Departments!$B$2:$B$7)</f>
        <v>Human Resources</v>
      </c>
      <c r="G93" s="4">
        <v>42304</v>
      </c>
      <c r="H93" s="11">
        <v>10</v>
      </c>
      <c r="I93" s="8">
        <v>56073</v>
      </c>
      <c r="J93">
        <v>79</v>
      </c>
      <c r="K93" t="s">
        <v>45</v>
      </c>
      <c r="L93" t="str" cm="1">
        <f t="array" ref="L93">_xlfn.IFS(J93&lt;=49,"Needs Improvement",J93&lt;=69,"Developing",J93&lt;=84,"Achieving",J93&lt;=94,"Exceeding",J93&lt;=100,"Outstanding")</f>
        <v>Achieving</v>
      </c>
      <c r="M93" s="13">
        <f>_xlfn.XLOOKUP(Transformed_Raw_Employee_Data!L93,Lookup_Performance!$C$2:$C$6,Lookup_Performance!$D$2:$D$6)</f>
        <v>0.05</v>
      </c>
      <c r="N93" s="8">
        <f t="shared" si="5"/>
        <v>2803.65</v>
      </c>
    </row>
    <row r="94" spans="1:14" x14ac:dyDescent="0.25">
      <c r="A94" t="s">
        <v>194</v>
      </c>
      <c r="B94" t="s">
        <v>105</v>
      </c>
      <c r="C94" t="s">
        <v>32</v>
      </c>
      <c r="D94" t="str">
        <f t="shared" si="4"/>
        <v>Melissa Johnson</v>
      </c>
      <c r="E94" t="s">
        <v>11</v>
      </c>
      <c r="F94" t="str">
        <f>_xlfn.XLOOKUP(E94,Lookup_Departments!$A$2:$A$7,Lookup_Departments!$B$2:$B$7)</f>
        <v>Information Technology</v>
      </c>
      <c r="G94" s="4">
        <v>43270</v>
      </c>
      <c r="H94" s="11">
        <v>8</v>
      </c>
      <c r="I94" s="8">
        <v>88056</v>
      </c>
      <c r="J94">
        <v>66</v>
      </c>
      <c r="K94" t="s">
        <v>45</v>
      </c>
      <c r="L94" t="str" cm="1">
        <f t="array" ref="L94">_xlfn.IFS(J94&lt;=49,"Needs Improvement",J94&lt;=69,"Developing",J94&lt;=84,"Achieving",J94&lt;=94,"Exceeding",J94&lt;=100,"Outstanding")</f>
        <v>Developing</v>
      </c>
      <c r="M94" s="13">
        <f>_xlfn.XLOOKUP(Transformed_Raw_Employee_Data!L94,Lookup_Performance!$C$2:$C$6,Lookup_Performance!$D$2:$D$6)</f>
        <v>0.02</v>
      </c>
      <c r="N94" s="8">
        <f t="shared" si="5"/>
        <v>1761.1200000000001</v>
      </c>
    </row>
    <row r="95" spans="1:14" x14ac:dyDescent="0.25">
      <c r="A95" t="s">
        <v>196</v>
      </c>
      <c r="B95" t="s">
        <v>28</v>
      </c>
      <c r="C95" t="s">
        <v>47</v>
      </c>
      <c r="D95" t="str">
        <f t="shared" si="4"/>
        <v>Thomas Miller</v>
      </c>
      <c r="E95" t="s">
        <v>33</v>
      </c>
      <c r="F95" t="str">
        <f>_xlfn.XLOOKUP(E95,Lookup_Departments!$A$2:$A$7,Lookup_Departments!$B$2:$B$7)</f>
        <v>Operations</v>
      </c>
      <c r="G95" s="4">
        <v>43435</v>
      </c>
      <c r="H95" s="11">
        <v>7</v>
      </c>
      <c r="I95" s="8">
        <v>67414</v>
      </c>
      <c r="J95">
        <v>84</v>
      </c>
      <c r="K95" t="s">
        <v>30</v>
      </c>
      <c r="L95" t="str" cm="1">
        <f t="array" ref="L95">_xlfn.IFS(J95&lt;=49,"Needs Improvement",J95&lt;=69,"Developing",J95&lt;=84,"Achieving",J95&lt;=94,"Exceeding",J95&lt;=100,"Outstanding")</f>
        <v>Achieving</v>
      </c>
      <c r="M95" s="13">
        <f>_xlfn.XLOOKUP(Transformed_Raw_Employee_Data!L95,Lookup_Performance!$C$2:$C$6,Lookup_Performance!$D$2:$D$6)</f>
        <v>0.05</v>
      </c>
      <c r="N95" s="8">
        <f t="shared" si="5"/>
        <v>3370.7000000000003</v>
      </c>
    </row>
    <row r="96" spans="1:14" x14ac:dyDescent="0.25">
      <c r="A96" t="s">
        <v>197</v>
      </c>
      <c r="B96" t="s">
        <v>160</v>
      </c>
      <c r="C96" t="s">
        <v>19</v>
      </c>
      <c r="D96" t="str">
        <f t="shared" si="4"/>
        <v>William Gonzalez</v>
      </c>
      <c r="E96" t="s">
        <v>44</v>
      </c>
      <c r="F96" t="str">
        <f>_xlfn.XLOOKUP(E96,Lookup_Departments!$A$2:$A$7,Lookup_Departments!$B$2:$B$7)</f>
        <v>Sales</v>
      </c>
      <c r="G96" s="4">
        <v>42095</v>
      </c>
      <c r="H96" s="11">
        <v>11</v>
      </c>
      <c r="I96" s="8">
        <v>115288</v>
      </c>
      <c r="J96">
        <v>61</v>
      </c>
      <c r="K96" t="s">
        <v>45</v>
      </c>
      <c r="L96" t="str" cm="1">
        <f t="array" ref="L96">_xlfn.IFS(J96&lt;=49,"Needs Improvement",J96&lt;=69,"Developing",J96&lt;=84,"Achieving",J96&lt;=94,"Exceeding",J96&lt;=100,"Outstanding")</f>
        <v>Developing</v>
      </c>
      <c r="M96" s="13">
        <f>_xlfn.XLOOKUP(Transformed_Raw_Employee_Data!L96,Lookup_Performance!$C$2:$C$6,Lookup_Performance!$D$2:$D$6)</f>
        <v>0.02</v>
      </c>
      <c r="N96" s="8">
        <f t="shared" si="5"/>
        <v>2305.7600000000002</v>
      </c>
    </row>
    <row r="97" spans="1:14" x14ac:dyDescent="0.25">
      <c r="A97" t="s">
        <v>199</v>
      </c>
      <c r="C97" t="s">
        <v>29</v>
      </c>
      <c r="D97" t="str">
        <f t="shared" si="4"/>
        <v>Smith</v>
      </c>
      <c r="E97" t="s">
        <v>44</v>
      </c>
      <c r="F97" t="str">
        <f>_xlfn.XLOOKUP(E97,Lookup_Departments!$A$2:$A$7,Lookup_Departments!$B$2:$B$7)</f>
        <v>Sales</v>
      </c>
      <c r="G97" s="4">
        <v>43232</v>
      </c>
      <c r="H97" s="11">
        <v>8</v>
      </c>
      <c r="I97" s="8">
        <v>80140</v>
      </c>
      <c r="J97">
        <v>58</v>
      </c>
      <c r="K97" t="s">
        <v>45</v>
      </c>
      <c r="L97" t="str" cm="1">
        <f t="array" ref="L97">_xlfn.IFS(J97&lt;=49,"Needs Improvement",J97&lt;=69,"Developing",J97&lt;=84,"Achieving",J97&lt;=94,"Exceeding",J97&lt;=100,"Outstanding")</f>
        <v>Developing</v>
      </c>
      <c r="M97" s="13">
        <f>_xlfn.XLOOKUP(Transformed_Raw_Employee_Data!L97,Lookup_Performance!$C$2:$C$6,Lookup_Performance!$D$2:$D$6)</f>
        <v>0.02</v>
      </c>
      <c r="N97" s="8">
        <f t="shared" si="5"/>
        <v>1602.8</v>
      </c>
    </row>
    <row r="98" spans="1:14" x14ac:dyDescent="0.25">
      <c r="A98" t="s">
        <v>200</v>
      </c>
      <c r="B98" t="s">
        <v>24</v>
      </c>
      <c r="C98" t="s">
        <v>32</v>
      </c>
      <c r="D98" t="str">
        <f t="shared" si="4"/>
        <v>John Johnson</v>
      </c>
      <c r="E98" t="s">
        <v>11</v>
      </c>
      <c r="F98" t="str">
        <f>_xlfn.XLOOKUP(E98,Lookup_Departments!$A$2:$A$7,Lookup_Departments!$B$2:$B$7)</f>
        <v>Information Technology</v>
      </c>
      <c r="G98" s="4">
        <v>44482</v>
      </c>
      <c r="H98" s="11">
        <v>4</v>
      </c>
      <c r="I98" s="8">
        <v>73087</v>
      </c>
      <c r="J98">
        <v>69</v>
      </c>
      <c r="K98" t="s">
        <v>45</v>
      </c>
      <c r="L98" t="str" cm="1">
        <f t="array" ref="L98">_xlfn.IFS(J98&lt;=49,"Needs Improvement",J98&lt;=69,"Developing",J98&lt;=84,"Achieving",J98&lt;=94,"Exceeding",J98&lt;=100,"Outstanding")</f>
        <v>Developing</v>
      </c>
      <c r="M98" s="13">
        <f>_xlfn.XLOOKUP(Transformed_Raw_Employee_Data!L98,Lookup_Performance!$C$2:$C$6,Lookup_Performance!$D$2:$D$6)</f>
        <v>0.02</v>
      </c>
      <c r="N98" s="8">
        <f t="shared" si="5"/>
        <v>1461.74</v>
      </c>
    </row>
    <row r="99" spans="1:14" x14ac:dyDescent="0.25">
      <c r="A99" t="s">
        <v>201</v>
      </c>
      <c r="B99" t="s">
        <v>53</v>
      </c>
      <c r="C99" t="s">
        <v>32</v>
      </c>
      <c r="D99" t="str">
        <f t="shared" si="4"/>
        <v>Jane Johnson</v>
      </c>
      <c r="E99" t="s">
        <v>44</v>
      </c>
      <c r="F99" t="str">
        <f>_xlfn.XLOOKUP(E99,Lookup_Departments!$A$2:$A$7,Lookup_Departments!$B$2:$B$7)</f>
        <v>Sales</v>
      </c>
      <c r="G99" s="4">
        <v>44021</v>
      </c>
      <c r="H99" s="11">
        <v>5</v>
      </c>
      <c r="I99" s="8">
        <v>95292</v>
      </c>
      <c r="J99">
        <v>34</v>
      </c>
      <c r="K99" t="s">
        <v>45</v>
      </c>
      <c r="L99" t="str" cm="1">
        <f t="array" ref="L99">_xlfn.IFS(J99&lt;=49,"Needs Improvement",J99&lt;=69,"Developing",J99&lt;=84,"Achieving",J99&lt;=94,"Exceeding",J99&lt;=100,"Outstanding")</f>
        <v>Needs Improvement</v>
      </c>
      <c r="M99" s="13">
        <f>_xlfn.XLOOKUP(Transformed_Raw_Employee_Data!L99,Lookup_Performance!$C$2:$C$6,Lookup_Performance!$D$2:$D$6)</f>
        <v>0</v>
      </c>
      <c r="N99" s="8">
        <f t="shared" si="5"/>
        <v>0</v>
      </c>
    </row>
    <row r="100" spans="1:14" x14ac:dyDescent="0.25">
      <c r="A100" t="s">
        <v>202</v>
      </c>
      <c r="B100" t="s">
        <v>24</v>
      </c>
      <c r="C100" t="s">
        <v>60</v>
      </c>
      <c r="D100" t="str">
        <f t="shared" si="4"/>
        <v>John Jones</v>
      </c>
      <c r="E100" t="s">
        <v>11</v>
      </c>
      <c r="F100" t="str">
        <f>_xlfn.XLOOKUP(E100,Lookup_Departments!$A$2:$A$7,Lookup_Departments!$B$2:$B$7)</f>
        <v>Information Technology</v>
      </c>
      <c r="G100" s="4">
        <v>43680</v>
      </c>
      <c r="H100" s="11">
        <v>6</v>
      </c>
      <c r="I100" s="8">
        <v>68901.166666666701</v>
      </c>
      <c r="J100">
        <v>33</v>
      </c>
      <c r="K100" t="s">
        <v>45</v>
      </c>
      <c r="L100" t="str" cm="1">
        <f t="array" ref="L100">_xlfn.IFS(J100&lt;=49,"Needs Improvement",J100&lt;=69,"Developing",J100&lt;=84,"Achieving",J100&lt;=94,"Exceeding",J100&lt;=100,"Outstanding")</f>
        <v>Needs Improvement</v>
      </c>
      <c r="M100" s="13">
        <f>_xlfn.XLOOKUP(Transformed_Raw_Employee_Data!L100,Lookup_Performance!$C$2:$C$6,Lookup_Performance!$D$2:$D$6)</f>
        <v>0</v>
      </c>
      <c r="N100" s="8">
        <f t="shared" si="5"/>
        <v>0</v>
      </c>
    </row>
    <row r="101" spans="1:14" x14ac:dyDescent="0.25">
      <c r="A101" t="s">
        <v>204</v>
      </c>
      <c r="B101" t="s">
        <v>53</v>
      </c>
      <c r="C101" t="s">
        <v>69</v>
      </c>
      <c r="D101" t="str">
        <f t="shared" si="4"/>
        <v>Jane Lopez</v>
      </c>
      <c r="E101" t="s">
        <v>16</v>
      </c>
      <c r="F101" t="str">
        <f>_xlfn.XLOOKUP(E101,Lookup_Departments!$A$2:$A$7,Lookup_Departments!$B$2:$B$7)</f>
        <v>Marketing</v>
      </c>
      <c r="G101" s="4">
        <v>42311</v>
      </c>
      <c r="H101" s="11">
        <v>10</v>
      </c>
      <c r="I101" s="8">
        <v>101750</v>
      </c>
      <c r="J101">
        <v>84</v>
      </c>
      <c r="K101" t="s">
        <v>30</v>
      </c>
      <c r="L101" t="str" cm="1">
        <f t="array" ref="L101">_xlfn.IFS(J101&lt;=49,"Needs Improvement",J101&lt;=69,"Developing",J101&lt;=84,"Achieving",J101&lt;=94,"Exceeding",J101&lt;=100,"Outstanding")</f>
        <v>Achieving</v>
      </c>
      <c r="M101" s="13">
        <f>_xlfn.XLOOKUP(Transformed_Raw_Employee_Data!L101,Lookup_Performance!$C$2:$C$6,Lookup_Performance!$D$2:$D$6)</f>
        <v>0.05</v>
      </c>
      <c r="N101" s="8">
        <f t="shared" si="5"/>
        <v>5087.5</v>
      </c>
    </row>
    <row r="102" spans="1:14" x14ac:dyDescent="0.25">
      <c r="A102" t="s">
        <v>206</v>
      </c>
      <c r="B102" t="s">
        <v>105</v>
      </c>
      <c r="C102" t="s">
        <v>19</v>
      </c>
      <c r="D102" t="str">
        <f t="shared" si="4"/>
        <v>Melissa Gonzalez</v>
      </c>
      <c r="E102" t="s">
        <v>16</v>
      </c>
      <c r="F102" t="str">
        <f>_xlfn.XLOOKUP(E102,Lookup_Departments!$A$2:$A$7,Lookup_Departments!$B$2:$B$7)</f>
        <v>Marketing</v>
      </c>
      <c r="G102" s="4">
        <v>42785</v>
      </c>
      <c r="H102" s="11">
        <v>9</v>
      </c>
      <c r="I102" s="8">
        <v>82992</v>
      </c>
      <c r="J102">
        <v>79</v>
      </c>
      <c r="K102" t="s">
        <v>45</v>
      </c>
      <c r="L102" t="str" cm="1">
        <f t="array" ref="L102">_xlfn.IFS(J102&lt;=49,"Needs Improvement",J102&lt;=69,"Developing",J102&lt;=84,"Achieving",J102&lt;=94,"Exceeding",J102&lt;=100,"Outstanding")</f>
        <v>Achieving</v>
      </c>
      <c r="M102" s="13">
        <f>_xlfn.XLOOKUP(Transformed_Raw_Employee_Data!L102,Lookup_Performance!$C$2:$C$6,Lookup_Performance!$D$2:$D$6)</f>
        <v>0.05</v>
      </c>
      <c r="N102" s="8">
        <f t="shared" si="5"/>
        <v>4149.6000000000004</v>
      </c>
    </row>
    <row r="103" spans="1:14" x14ac:dyDescent="0.25">
      <c r="A103" t="s">
        <v>208</v>
      </c>
      <c r="B103" t="s">
        <v>160</v>
      </c>
      <c r="C103" t="s">
        <v>64</v>
      </c>
      <c r="D103" t="str">
        <f t="shared" si="4"/>
        <v>William Davis</v>
      </c>
      <c r="E103" t="s">
        <v>11</v>
      </c>
      <c r="F103" t="str">
        <f>_xlfn.XLOOKUP(E103,Lookup_Departments!$A$2:$A$7,Lookup_Departments!$B$2:$B$7)</f>
        <v>Information Technology</v>
      </c>
      <c r="G103" s="4">
        <v>45174</v>
      </c>
      <c r="H103" s="11">
        <v>2</v>
      </c>
      <c r="I103" s="8">
        <v>49942</v>
      </c>
      <c r="J103">
        <v>51</v>
      </c>
      <c r="K103" t="s">
        <v>45</v>
      </c>
      <c r="L103" t="str" cm="1">
        <f t="array" ref="L103">_xlfn.IFS(J103&lt;=49,"Needs Improvement",J103&lt;=69,"Developing",J103&lt;=84,"Achieving",J103&lt;=94,"Exceeding",J103&lt;=100,"Outstanding")</f>
        <v>Developing</v>
      </c>
      <c r="M103" s="13">
        <f>_xlfn.XLOOKUP(Transformed_Raw_Employee_Data!L103,Lookup_Performance!$C$2:$C$6,Lookup_Performance!$D$2:$D$6)</f>
        <v>0.02</v>
      </c>
      <c r="N103" s="8">
        <f t="shared" si="5"/>
        <v>998.84</v>
      </c>
    </row>
    <row r="104" spans="1:14" x14ac:dyDescent="0.25">
      <c r="A104" t="s">
        <v>210</v>
      </c>
      <c r="B104" t="s">
        <v>24</v>
      </c>
      <c r="C104" t="s">
        <v>29</v>
      </c>
      <c r="D104" t="str">
        <f t="shared" si="4"/>
        <v>John Smith</v>
      </c>
      <c r="E104" t="s">
        <v>33</v>
      </c>
      <c r="F104" t="str">
        <f>_xlfn.XLOOKUP(E104,Lookup_Departments!$A$2:$A$7,Lookup_Departments!$B$2:$B$7)</f>
        <v>Operations</v>
      </c>
      <c r="G104" s="4">
        <v>43122</v>
      </c>
      <c r="H104" s="11">
        <v>8</v>
      </c>
      <c r="I104" s="8">
        <v>89060</v>
      </c>
      <c r="J104">
        <v>58</v>
      </c>
      <c r="K104" t="s">
        <v>45</v>
      </c>
      <c r="L104" t="str" cm="1">
        <f t="array" ref="L104">_xlfn.IFS(J104&lt;=49,"Needs Improvement",J104&lt;=69,"Developing",J104&lt;=84,"Achieving",J104&lt;=94,"Exceeding",J104&lt;=100,"Outstanding")</f>
        <v>Developing</v>
      </c>
      <c r="M104" s="13">
        <f>_xlfn.XLOOKUP(Transformed_Raw_Employee_Data!L104,Lookup_Performance!$C$2:$C$6,Lookup_Performance!$D$2:$D$6)</f>
        <v>0.02</v>
      </c>
      <c r="N104" s="8">
        <f t="shared" si="5"/>
        <v>1781.2</v>
      </c>
    </row>
    <row r="105" spans="1:14" x14ac:dyDescent="0.25">
      <c r="A105" t="s">
        <v>211</v>
      </c>
      <c r="B105" t="s">
        <v>66</v>
      </c>
      <c r="C105" t="s">
        <v>19</v>
      </c>
      <c r="D105" t="str">
        <f t="shared" si="4"/>
        <v>James Gonzalez</v>
      </c>
      <c r="E105" t="s">
        <v>11</v>
      </c>
      <c r="F105" t="str">
        <f>_xlfn.XLOOKUP(E105,Lookup_Departments!$A$2:$A$7,Lookup_Departments!$B$2:$B$7)</f>
        <v>Information Technology</v>
      </c>
      <c r="G105" s="4">
        <v>43879</v>
      </c>
      <c r="H105" s="11">
        <v>6</v>
      </c>
      <c r="I105" s="8">
        <v>53786</v>
      </c>
      <c r="J105">
        <v>98</v>
      </c>
      <c r="K105" t="s">
        <v>45</v>
      </c>
      <c r="L105" t="str" cm="1">
        <f t="array" ref="L105">_xlfn.IFS(J105&lt;=49,"Needs Improvement",J105&lt;=69,"Developing",J105&lt;=84,"Achieving",J105&lt;=94,"Exceeding",J105&lt;=100,"Outstanding")</f>
        <v>Outstanding</v>
      </c>
      <c r="M105" s="13">
        <f>_xlfn.XLOOKUP(Transformed_Raw_Employee_Data!L105,Lookup_Performance!$C$2:$C$6,Lookup_Performance!$D$2:$D$6)</f>
        <v>0.12</v>
      </c>
      <c r="N105" s="8">
        <f t="shared" si="5"/>
        <v>6454.32</v>
      </c>
    </row>
    <row r="106" spans="1:14" x14ac:dyDescent="0.25">
      <c r="A106" t="s">
        <v>212</v>
      </c>
      <c r="B106" t="s">
        <v>9</v>
      </c>
      <c r="C106" t="s">
        <v>32</v>
      </c>
      <c r="D106" t="str">
        <f t="shared" si="4"/>
        <v>Emily Johnson</v>
      </c>
      <c r="E106" t="s">
        <v>33</v>
      </c>
      <c r="F106" t="str">
        <f>_xlfn.XLOOKUP(E106,Lookup_Departments!$A$2:$A$7,Lookup_Departments!$B$2:$B$7)</f>
        <v>Operations</v>
      </c>
      <c r="G106" s="4">
        <v>42512</v>
      </c>
      <c r="H106" s="11">
        <v>10</v>
      </c>
      <c r="I106" s="8">
        <v>81167</v>
      </c>
      <c r="J106">
        <v>63</v>
      </c>
      <c r="K106" t="s">
        <v>45</v>
      </c>
      <c r="L106" t="str" cm="1">
        <f t="array" ref="L106">_xlfn.IFS(J106&lt;=49,"Needs Improvement",J106&lt;=69,"Developing",J106&lt;=84,"Achieving",J106&lt;=94,"Exceeding",J106&lt;=100,"Outstanding")</f>
        <v>Developing</v>
      </c>
      <c r="M106" s="13">
        <f>_xlfn.XLOOKUP(Transformed_Raw_Employee_Data!L106,Lookup_Performance!$C$2:$C$6,Lookup_Performance!$D$2:$D$6)</f>
        <v>0.02</v>
      </c>
      <c r="N106" s="8">
        <f t="shared" si="5"/>
        <v>1623.3400000000001</v>
      </c>
    </row>
    <row r="107" spans="1:14" x14ac:dyDescent="0.25">
      <c r="A107" t="s">
        <v>214</v>
      </c>
      <c r="B107" t="s">
        <v>160</v>
      </c>
      <c r="C107" t="s">
        <v>54</v>
      </c>
      <c r="D107" t="str">
        <f t="shared" si="4"/>
        <v>William Williams</v>
      </c>
      <c r="E107" t="s">
        <v>16</v>
      </c>
      <c r="F107" t="str">
        <f>_xlfn.XLOOKUP(E107,Lookup_Departments!$A$2:$A$7,Lookup_Departments!$B$2:$B$7)</f>
        <v>Marketing</v>
      </c>
      <c r="G107" s="4">
        <v>44233</v>
      </c>
      <c r="H107" s="11">
        <v>5</v>
      </c>
      <c r="I107" s="8">
        <v>66688</v>
      </c>
      <c r="J107">
        <v>40</v>
      </c>
      <c r="K107" t="s">
        <v>30</v>
      </c>
      <c r="L107" t="str" cm="1">
        <f t="array" ref="L107">_xlfn.IFS(J107&lt;=49,"Needs Improvement",J107&lt;=69,"Developing",J107&lt;=84,"Achieving",J107&lt;=94,"Exceeding",J107&lt;=100,"Outstanding")</f>
        <v>Needs Improvement</v>
      </c>
      <c r="M107" s="13">
        <f>_xlfn.XLOOKUP(Transformed_Raw_Employee_Data!L107,Lookup_Performance!$C$2:$C$6,Lookup_Performance!$D$2:$D$6)</f>
        <v>0</v>
      </c>
      <c r="N107" s="8">
        <f t="shared" si="5"/>
        <v>0</v>
      </c>
    </row>
    <row r="108" spans="1:14" x14ac:dyDescent="0.25">
      <c r="A108" t="s">
        <v>215</v>
      </c>
      <c r="B108" t="s">
        <v>66</v>
      </c>
      <c r="C108" t="s">
        <v>60</v>
      </c>
      <c r="D108" t="str">
        <f t="shared" si="4"/>
        <v>James Jones</v>
      </c>
      <c r="E108" t="s">
        <v>11</v>
      </c>
      <c r="F108" t="str">
        <f>_xlfn.XLOOKUP(E108,Lookup_Departments!$A$2:$A$7,Lookup_Departments!$B$2:$B$7)</f>
        <v>Information Technology</v>
      </c>
      <c r="G108" s="4">
        <v>44394</v>
      </c>
      <c r="H108" s="11">
        <v>4</v>
      </c>
      <c r="I108" s="8">
        <v>91672</v>
      </c>
      <c r="J108">
        <v>88</v>
      </c>
      <c r="K108" t="s">
        <v>45</v>
      </c>
      <c r="L108" t="str" cm="1">
        <f t="array" ref="L108">_xlfn.IFS(J108&lt;=49,"Needs Improvement",J108&lt;=69,"Developing",J108&lt;=84,"Achieving",J108&lt;=94,"Exceeding",J108&lt;=100,"Outstanding")</f>
        <v>Exceeding</v>
      </c>
      <c r="M108" s="13">
        <f>_xlfn.XLOOKUP(Transformed_Raw_Employee_Data!L108,Lookup_Performance!$C$2:$C$6,Lookup_Performance!$D$2:$D$6)</f>
        <v>0.08</v>
      </c>
      <c r="N108" s="8">
        <f t="shared" si="5"/>
        <v>7333.76</v>
      </c>
    </row>
    <row r="109" spans="1:14" x14ac:dyDescent="0.25">
      <c r="A109" t="s">
        <v>216</v>
      </c>
      <c r="B109" t="s">
        <v>39</v>
      </c>
      <c r="C109" t="s">
        <v>19</v>
      </c>
      <c r="D109" t="str">
        <f t="shared" si="4"/>
        <v>Jessica Gonzalez</v>
      </c>
      <c r="E109" t="s">
        <v>97</v>
      </c>
      <c r="F109" t="str">
        <f>_xlfn.XLOOKUP(E109,Lookup_Departments!$A$2:$A$7,Lookup_Departments!$B$2:$B$7)</f>
        <v>Human Resources</v>
      </c>
      <c r="G109" s="4">
        <v>42687</v>
      </c>
      <c r="H109" s="11">
        <v>9</v>
      </c>
      <c r="I109" s="8">
        <v>77737</v>
      </c>
      <c r="J109">
        <v>77</v>
      </c>
      <c r="K109" t="s">
        <v>45</v>
      </c>
      <c r="L109" t="str" cm="1">
        <f t="array" ref="L109">_xlfn.IFS(J109&lt;=49,"Needs Improvement",J109&lt;=69,"Developing",J109&lt;=84,"Achieving",J109&lt;=94,"Exceeding",J109&lt;=100,"Outstanding")</f>
        <v>Achieving</v>
      </c>
      <c r="M109" s="13">
        <f>_xlfn.XLOOKUP(Transformed_Raw_Employee_Data!L109,Lookup_Performance!$C$2:$C$6,Lookup_Performance!$D$2:$D$6)</f>
        <v>0.05</v>
      </c>
      <c r="N109" s="8">
        <f t="shared" si="5"/>
        <v>3886.8500000000004</v>
      </c>
    </row>
    <row r="110" spans="1:14" x14ac:dyDescent="0.25">
      <c r="A110" t="s">
        <v>219</v>
      </c>
      <c r="B110" t="s">
        <v>94</v>
      </c>
      <c r="C110" t="s">
        <v>47</v>
      </c>
      <c r="D110" t="str">
        <f t="shared" si="4"/>
        <v>Sarah Miller</v>
      </c>
      <c r="E110" t="s">
        <v>44</v>
      </c>
      <c r="F110" t="str">
        <f>_xlfn.XLOOKUP(E110,Lookup_Departments!$A$2:$A$7,Lookup_Departments!$B$2:$B$7)</f>
        <v>Sales</v>
      </c>
      <c r="G110" s="4">
        <v>43513</v>
      </c>
      <c r="H110" s="11">
        <v>7</v>
      </c>
      <c r="I110" s="8">
        <v>95686</v>
      </c>
      <c r="J110">
        <v>91</v>
      </c>
      <c r="K110" t="s">
        <v>45</v>
      </c>
      <c r="L110" t="str" cm="1">
        <f t="array" ref="L110">_xlfn.IFS(J110&lt;=49,"Needs Improvement",J110&lt;=69,"Developing",J110&lt;=84,"Achieving",J110&lt;=94,"Exceeding",J110&lt;=100,"Outstanding")</f>
        <v>Exceeding</v>
      </c>
      <c r="M110" s="13">
        <f>_xlfn.XLOOKUP(Transformed_Raw_Employee_Data!L110,Lookup_Performance!$C$2:$C$6,Lookup_Performance!$D$2:$D$6)</f>
        <v>0.08</v>
      </c>
      <c r="N110" s="8">
        <f t="shared" si="5"/>
        <v>7654.88</v>
      </c>
    </row>
    <row r="111" spans="1:14" x14ac:dyDescent="0.25">
      <c r="A111" t="s">
        <v>221</v>
      </c>
      <c r="B111" t="s">
        <v>39</v>
      </c>
      <c r="C111" t="s">
        <v>29</v>
      </c>
      <c r="D111" t="str">
        <f t="shared" si="4"/>
        <v>Jessica Smith</v>
      </c>
      <c r="E111" t="s">
        <v>44</v>
      </c>
      <c r="F111" t="str">
        <f>_xlfn.XLOOKUP(E111,Lookup_Departments!$A$2:$A$7,Lookup_Departments!$B$2:$B$7)</f>
        <v>Sales</v>
      </c>
      <c r="G111" s="4">
        <v>42713</v>
      </c>
      <c r="H111" s="11">
        <v>9</v>
      </c>
      <c r="I111" s="8">
        <v>114681</v>
      </c>
      <c r="J111">
        <v>36</v>
      </c>
      <c r="K111" t="s">
        <v>45</v>
      </c>
      <c r="L111" t="str" cm="1">
        <f t="array" ref="L111">_xlfn.IFS(J111&lt;=49,"Needs Improvement",J111&lt;=69,"Developing",J111&lt;=84,"Achieving",J111&lt;=94,"Exceeding",J111&lt;=100,"Outstanding")</f>
        <v>Needs Improvement</v>
      </c>
      <c r="M111" s="13">
        <f>_xlfn.XLOOKUP(Transformed_Raw_Employee_Data!L111,Lookup_Performance!$C$2:$C$6,Lookup_Performance!$D$2:$D$6)</f>
        <v>0</v>
      </c>
      <c r="N111" s="8">
        <f t="shared" si="5"/>
        <v>0</v>
      </c>
    </row>
    <row r="112" spans="1:14" x14ac:dyDescent="0.25">
      <c r="A112" t="s">
        <v>222</v>
      </c>
      <c r="B112" t="s">
        <v>28</v>
      </c>
      <c r="C112" t="s">
        <v>60</v>
      </c>
      <c r="D112" t="str">
        <f t="shared" si="4"/>
        <v>Thomas Jones</v>
      </c>
      <c r="E112" t="s">
        <v>33</v>
      </c>
      <c r="F112" t="str">
        <f>_xlfn.XLOOKUP(E112,Lookup_Departments!$A$2:$A$7,Lookup_Departments!$B$2:$B$7)</f>
        <v>Operations</v>
      </c>
      <c r="G112" s="4">
        <v>44421</v>
      </c>
      <c r="H112" s="11">
        <v>4</v>
      </c>
      <c r="I112" s="8">
        <v>109121</v>
      </c>
      <c r="J112">
        <v>72</v>
      </c>
      <c r="K112" t="s">
        <v>45</v>
      </c>
      <c r="L112" t="str" cm="1">
        <f t="array" ref="L112">_xlfn.IFS(J112&lt;=49,"Needs Improvement",J112&lt;=69,"Developing",J112&lt;=84,"Achieving",J112&lt;=94,"Exceeding",J112&lt;=100,"Outstanding")</f>
        <v>Achieving</v>
      </c>
      <c r="M112" s="13">
        <f>_xlfn.XLOOKUP(Transformed_Raw_Employee_Data!L112,Lookup_Performance!$C$2:$C$6,Lookup_Performance!$D$2:$D$6)</f>
        <v>0.05</v>
      </c>
      <c r="N112" s="8">
        <f t="shared" si="5"/>
        <v>5456.05</v>
      </c>
    </row>
    <row r="113" spans="1:14" x14ac:dyDescent="0.25">
      <c r="A113" t="s">
        <v>225</v>
      </c>
      <c r="B113" t="s">
        <v>71</v>
      </c>
      <c r="C113" t="s">
        <v>10</v>
      </c>
      <c r="D113" t="str">
        <f t="shared" si="4"/>
        <v>Amanda Brown</v>
      </c>
      <c r="E113" t="s">
        <v>16</v>
      </c>
      <c r="F113" t="str">
        <f>_xlfn.XLOOKUP(E113,Lookup_Departments!$A$2:$A$7,Lookup_Departments!$B$2:$B$7)</f>
        <v>Marketing</v>
      </c>
      <c r="G113" s="4">
        <v>43996</v>
      </c>
      <c r="H113" s="11">
        <v>6</v>
      </c>
      <c r="I113" s="8">
        <v>112791</v>
      </c>
      <c r="J113">
        <v>87</v>
      </c>
      <c r="K113" t="s">
        <v>45</v>
      </c>
      <c r="L113" t="str" cm="1">
        <f t="array" ref="L113">_xlfn.IFS(J113&lt;=49,"Needs Improvement",J113&lt;=69,"Developing",J113&lt;=84,"Achieving",J113&lt;=94,"Exceeding",J113&lt;=100,"Outstanding")</f>
        <v>Exceeding</v>
      </c>
      <c r="M113" s="13">
        <f>_xlfn.XLOOKUP(Transformed_Raw_Employee_Data!L113,Lookup_Performance!$C$2:$C$6,Lookup_Performance!$D$2:$D$6)</f>
        <v>0.08</v>
      </c>
      <c r="N113" s="8">
        <f t="shared" si="5"/>
        <v>9023.2800000000007</v>
      </c>
    </row>
    <row r="114" spans="1:14" x14ac:dyDescent="0.25">
      <c r="A114" t="s">
        <v>227</v>
      </c>
      <c r="B114" t="s">
        <v>59</v>
      </c>
      <c r="C114" t="s">
        <v>25</v>
      </c>
      <c r="D114" t="str">
        <f t="shared" si="4"/>
        <v>Robert Martinez</v>
      </c>
      <c r="E114" t="s">
        <v>11</v>
      </c>
      <c r="F114" t="str">
        <f>_xlfn.XLOOKUP(E114,Lookup_Departments!$A$2:$A$7,Lookup_Departments!$B$2:$B$7)</f>
        <v>Information Technology</v>
      </c>
      <c r="G114" s="4">
        <v>44688</v>
      </c>
      <c r="H114" s="11">
        <v>4</v>
      </c>
      <c r="I114" s="8">
        <v>118008</v>
      </c>
      <c r="J114">
        <v>71</v>
      </c>
      <c r="K114" t="s">
        <v>45</v>
      </c>
      <c r="L114" t="str" cm="1">
        <f t="array" ref="L114">_xlfn.IFS(J114&lt;=49,"Needs Improvement",J114&lt;=69,"Developing",J114&lt;=84,"Achieving",J114&lt;=94,"Exceeding",J114&lt;=100,"Outstanding")</f>
        <v>Achieving</v>
      </c>
      <c r="M114" s="13">
        <f>_xlfn.XLOOKUP(Transformed_Raw_Employee_Data!L114,Lookup_Performance!$C$2:$C$6,Lookup_Performance!$D$2:$D$6)</f>
        <v>0.05</v>
      </c>
      <c r="N114" s="8">
        <f t="shared" si="5"/>
        <v>5900.4000000000005</v>
      </c>
    </row>
    <row r="115" spans="1:14" x14ac:dyDescent="0.25">
      <c r="A115" t="s">
        <v>229</v>
      </c>
      <c r="B115" t="s">
        <v>28</v>
      </c>
      <c r="C115" t="s">
        <v>47</v>
      </c>
      <c r="D115" t="str">
        <f t="shared" si="4"/>
        <v>Thomas Miller</v>
      </c>
      <c r="E115" t="s">
        <v>11</v>
      </c>
      <c r="F115" t="str">
        <f>_xlfn.XLOOKUP(E115,Lookup_Departments!$A$2:$A$7,Lookup_Departments!$B$2:$B$7)</f>
        <v>Information Technology</v>
      </c>
      <c r="G115" s="4">
        <v>42650</v>
      </c>
      <c r="H115" s="11">
        <v>9</v>
      </c>
      <c r="I115" s="8">
        <v>74370</v>
      </c>
      <c r="J115">
        <v>82</v>
      </c>
      <c r="K115" t="s">
        <v>45</v>
      </c>
      <c r="L115" t="str" cm="1">
        <f t="array" ref="L115">_xlfn.IFS(J115&lt;=49,"Needs Improvement",J115&lt;=69,"Developing",J115&lt;=84,"Achieving",J115&lt;=94,"Exceeding",J115&lt;=100,"Outstanding")</f>
        <v>Achieving</v>
      </c>
      <c r="M115" s="13">
        <f>_xlfn.XLOOKUP(Transformed_Raw_Employee_Data!L115,Lookup_Performance!$C$2:$C$6,Lookup_Performance!$D$2:$D$6)</f>
        <v>0.05</v>
      </c>
      <c r="N115" s="8">
        <f t="shared" si="5"/>
        <v>3718.5</v>
      </c>
    </row>
    <row r="116" spans="1:14" x14ac:dyDescent="0.25">
      <c r="A116" t="s">
        <v>231</v>
      </c>
      <c r="B116" t="s">
        <v>113</v>
      </c>
      <c r="C116" t="s">
        <v>41</v>
      </c>
      <c r="D116" t="str">
        <f t="shared" si="4"/>
        <v>David Rodriguez</v>
      </c>
      <c r="E116" t="s">
        <v>11</v>
      </c>
      <c r="F116" t="str">
        <f>_xlfn.XLOOKUP(E116,Lookup_Departments!$A$2:$A$7,Lookup_Departments!$B$2:$B$7)</f>
        <v>Information Technology</v>
      </c>
      <c r="G116" s="4">
        <v>44674</v>
      </c>
      <c r="H116" s="11">
        <v>4</v>
      </c>
      <c r="I116" s="8">
        <v>77819</v>
      </c>
      <c r="J116">
        <v>79</v>
      </c>
      <c r="K116" t="s">
        <v>45</v>
      </c>
      <c r="L116" t="str" cm="1">
        <f t="array" ref="L116">_xlfn.IFS(J116&lt;=49,"Needs Improvement",J116&lt;=69,"Developing",J116&lt;=84,"Achieving",J116&lt;=94,"Exceeding",J116&lt;=100,"Outstanding")</f>
        <v>Achieving</v>
      </c>
      <c r="M116" s="13">
        <f>_xlfn.XLOOKUP(Transformed_Raw_Employee_Data!L116,Lookup_Performance!$C$2:$C$6,Lookup_Performance!$D$2:$D$6)</f>
        <v>0.05</v>
      </c>
      <c r="N116" s="8">
        <f t="shared" si="5"/>
        <v>3890.9500000000003</v>
      </c>
    </row>
    <row r="117" spans="1:14" x14ac:dyDescent="0.25">
      <c r="A117" t="s">
        <v>232</v>
      </c>
      <c r="B117" t="s">
        <v>53</v>
      </c>
      <c r="C117" t="s">
        <v>47</v>
      </c>
      <c r="D117" t="str">
        <f t="shared" si="4"/>
        <v>Jane Miller</v>
      </c>
      <c r="E117" t="s">
        <v>16</v>
      </c>
      <c r="F117" t="str">
        <f>_xlfn.XLOOKUP(E117,Lookup_Departments!$A$2:$A$7,Lookup_Departments!$B$2:$B$7)</f>
        <v>Marketing</v>
      </c>
      <c r="G117" s="4">
        <v>43013</v>
      </c>
      <c r="H117" s="11">
        <v>8</v>
      </c>
      <c r="I117" s="8">
        <v>48748</v>
      </c>
      <c r="J117">
        <v>83</v>
      </c>
      <c r="K117" t="s">
        <v>45</v>
      </c>
      <c r="L117" t="str" cm="1">
        <f t="array" ref="L117">_xlfn.IFS(J117&lt;=49,"Needs Improvement",J117&lt;=69,"Developing",J117&lt;=84,"Achieving",J117&lt;=94,"Exceeding",J117&lt;=100,"Outstanding")</f>
        <v>Achieving</v>
      </c>
      <c r="M117" s="13">
        <f>_xlfn.XLOOKUP(Transformed_Raw_Employee_Data!L117,Lookup_Performance!$C$2:$C$6,Lookup_Performance!$D$2:$D$6)</f>
        <v>0.05</v>
      </c>
      <c r="N117" s="8">
        <f t="shared" si="5"/>
        <v>2437.4</v>
      </c>
    </row>
    <row r="118" spans="1:14" x14ac:dyDescent="0.25">
      <c r="A118" t="s">
        <v>234</v>
      </c>
      <c r="B118" t="s">
        <v>66</v>
      </c>
      <c r="C118" t="s">
        <v>41</v>
      </c>
      <c r="D118" t="str">
        <f t="shared" si="4"/>
        <v>James Rodriguez</v>
      </c>
      <c r="E118" t="s">
        <v>33</v>
      </c>
      <c r="F118" t="str">
        <f>_xlfn.XLOOKUP(E118,Lookup_Departments!$A$2:$A$7,Lookup_Departments!$B$2:$B$7)</f>
        <v>Operations</v>
      </c>
      <c r="G118" s="4">
        <v>43971</v>
      </c>
      <c r="H118" s="11">
        <v>6</v>
      </c>
      <c r="I118" s="8">
        <v>101997</v>
      </c>
      <c r="J118">
        <v>38</v>
      </c>
      <c r="K118" t="s">
        <v>116</v>
      </c>
      <c r="L118" t="str" cm="1">
        <f t="array" ref="L118">_xlfn.IFS(J118&lt;=49,"Needs Improvement",J118&lt;=69,"Developing",J118&lt;=84,"Achieving",J118&lt;=94,"Exceeding",J118&lt;=100,"Outstanding")</f>
        <v>Needs Improvement</v>
      </c>
      <c r="M118" s="13">
        <f>_xlfn.XLOOKUP(Transformed_Raw_Employee_Data!L118,Lookup_Performance!$C$2:$C$6,Lookup_Performance!$D$2:$D$6)</f>
        <v>0</v>
      </c>
      <c r="N118" s="8">
        <f t="shared" si="5"/>
        <v>0</v>
      </c>
    </row>
    <row r="119" spans="1:14" x14ac:dyDescent="0.25">
      <c r="A119" t="s">
        <v>235</v>
      </c>
      <c r="B119" t="s">
        <v>94</v>
      </c>
      <c r="C119" t="s">
        <v>41</v>
      </c>
      <c r="D119" t="str">
        <f t="shared" si="4"/>
        <v>Sarah Rodriguez</v>
      </c>
      <c r="E119" t="s">
        <v>97</v>
      </c>
      <c r="F119" t="str">
        <f>_xlfn.XLOOKUP(E119,Lookup_Departments!$A$2:$A$7,Lookup_Departments!$B$2:$B$7)</f>
        <v>Human Resources</v>
      </c>
      <c r="G119" s="4">
        <v>45036</v>
      </c>
      <c r="H119" s="11">
        <v>3</v>
      </c>
      <c r="I119" s="8">
        <v>115260</v>
      </c>
      <c r="J119">
        <v>77</v>
      </c>
      <c r="K119" t="s">
        <v>45</v>
      </c>
      <c r="L119" t="str" cm="1">
        <f t="array" ref="L119">_xlfn.IFS(J119&lt;=49,"Needs Improvement",J119&lt;=69,"Developing",J119&lt;=84,"Achieving",J119&lt;=94,"Exceeding",J119&lt;=100,"Outstanding")</f>
        <v>Achieving</v>
      </c>
      <c r="M119" s="13">
        <f>_xlfn.XLOOKUP(Transformed_Raw_Employee_Data!L119,Lookup_Performance!$C$2:$C$6,Lookup_Performance!$D$2:$D$6)</f>
        <v>0.05</v>
      </c>
      <c r="N119" s="8">
        <f t="shared" si="5"/>
        <v>5763</v>
      </c>
    </row>
    <row r="120" spans="1:14" x14ac:dyDescent="0.25">
      <c r="A120" t="s">
        <v>237</v>
      </c>
      <c r="B120" t="s">
        <v>94</v>
      </c>
      <c r="C120" t="s">
        <v>36</v>
      </c>
      <c r="D120" t="str">
        <f t="shared" si="4"/>
        <v>Sarah Wilson</v>
      </c>
      <c r="E120" t="s">
        <v>44</v>
      </c>
      <c r="F120" t="str">
        <f>_xlfn.XLOOKUP(E120,Lookup_Departments!$A$2:$A$7,Lookup_Departments!$B$2:$B$7)</f>
        <v>Sales</v>
      </c>
      <c r="G120" s="4">
        <v>44500</v>
      </c>
      <c r="H120" s="11">
        <v>4</v>
      </c>
      <c r="I120" s="8">
        <v>64757.870967741903</v>
      </c>
      <c r="J120">
        <v>49</v>
      </c>
      <c r="K120" t="s">
        <v>45</v>
      </c>
      <c r="L120" t="str" cm="1">
        <f t="array" ref="L120">_xlfn.IFS(J120&lt;=49,"Needs Improvement",J120&lt;=69,"Developing",J120&lt;=84,"Achieving",J120&lt;=94,"Exceeding",J120&lt;=100,"Outstanding")</f>
        <v>Needs Improvement</v>
      </c>
      <c r="M120" s="13">
        <f>_xlfn.XLOOKUP(Transformed_Raw_Employee_Data!L120,Lookup_Performance!$C$2:$C$6,Lookup_Performance!$D$2:$D$6)</f>
        <v>0</v>
      </c>
      <c r="N120" s="8">
        <f t="shared" si="5"/>
        <v>0</v>
      </c>
    </row>
    <row r="121" spans="1:14" x14ac:dyDescent="0.25">
      <c r="A121" t="s">
        <v>238</v>
      </c>
      <c r="B121" t="s">
        <v>105</v>
      </c>
      <c r="C121" t="s">
        <v>10</v>
      </c>
      <c r="D121" t="str">
        <f t="shared" si="4"/>
        <v>Melissa Brown</v>
      </c>
      <c r="E121" t="s">
        <v>11</v>
      </c>
      <c r="F121" t="str">
        <f>_xlfn.XLOOKUP(E121,Lookup_Departments!$A$2:$A$7,Lookup_Departments!$B$2:$B$7)</f>
        <v>Information Technology</v>
      </c>
      <c r="G121" s="4">
        <v>44493</v>
      </c>
      <c r="H121" s="11">
        <v>4</v>
      </c>
      <c r="I121" s="8">
        <v>68901.166666666701</v>
      </c>
      <c r="J121">
        <v>69</v>
      </c>
      <c r="K121" t="s">
        <v>30</v>
      </c>
      <c r="L121" t="str" cm="1">
        <f t="array" ref="L121">_xlfn.IFS(J121&lt;=49,"Needs Improvement",J121&lt;=69,"Developing",J121&lt;=84,"Achieving",J121&lt;=94,"Exceeding",J121&lt;=100,"Outstanding")</f>
        <v>Developing</v>
      </c>
      <c r="M121" s="13">
        <f>_xlfn.XLOOKUP(Transformed_Raw_Employee_Data!L121,Lookup_Performance!$C$2:$C$6,Lookup_Performance!$D$2:$D$6)</f>
        <v>0.02</v>
      </c>
      <c r="N121" s="8">
        <f t="shared" si="5"/>
        <v>1378.023333333334</v>
      </c>
    </row>
    <row r="122" spans="1:14" x14ac:dyDescent="0.25">
      <c r="A122" t="s">
        <v>240</v>
      </c>
      <c r="B122" t="s">
        <v>59</v>
      </c>
      <c r="C122" t="s">
        <v>54</v>
      </c>
      <c r="D122" t="str">
        <f t="shared" si="4"/>
        <v>Robert Williams</v>
      </c>
      <c r="E122" t="s">
        <v>44</v>
      </c>
      <c r="F122" t="str">
        <f>_xlfn.XLOOKUP(E122,Lookup_Departments!$A$2:$A$7,Lookup_Departments!$B$2:$B$7)</f>
        <v>Sales</v>
      </c>
      <c r="G122" s="4">
        <v>42986</v>
      </c>
      <c r="H122" s="11">
        <v>8</v>
      </c>
      <c r="I122" s="8">
        <v>64757.870967741903</v>
      </c>
      <c r="J122">
        <v>76</v>
      </c>
      <c r="K122" t="s">
        <v>45</v>
      </c>
      <c r="L122" t="str" cm="1">
        <f t="array" ref="L122">_xlfn.IFS(J122&lt;=49,"Needs Improvement",J122&lt;=69,"Developing",J122&lt;=84,"Achieving",J122&lt;=94,"Exceeding",J122&lt;=100,"Outstanding")</f>
        <v>Achieving</v>
      </c>
      <c r="M122" s="13">
        <f>_xlfn.XLOOKUP(Transformed_Raw_Employee_Data!L122,Lookup_Performance!$C$2:$C$6,Lookup_Performance!$D$2:$D$6)</f>
        <v>0.05</v>
      </c>
      <c r="N122" s="8">
        <f t="shared" si="5"/>
        <v>3237.8935483870955</v>
      </c>
    </row>
    <row r="123" spans="1:14" x14ac:dyDescent="0.25">
      <c r="A123" t="s">
        <v>241</v>
      </c>
      <c r="B123" t="s">
        <v>105</v>
      </c>
      <c r="C123" t="s">
        <v>41</v>
      </c>
      <c r="D123" t="str">
        <f t="shared" si="4"/>
        <v>Melissa Rodriguez</v>
      </c>
      <c r="E123" t="s">
        <v>33</v>
      </c>
      <c r="F123" t="str">
        <f>_xlfn.XLOOKUP(E123,Lookup_Departments!$A$2:$A$7,Lookup_Departments!$B$2:$B$7)</f>
        <v>Operations</v>
      </c>
      <c r="G123" s="4">
        <v>45017</v>
      </c>
      <c r="H123" s="11">
        <v>3</v>
      </c>
      <c r="I123" s="8">
        <v>60623</v>
      </c>
      <c r="J123">
        <v>78</v>
      </c>
      <c r="K123" t="s">
        <v>45</v>
      </c>
      <c r="L123" t="str" cm="1">
        <f t="array" ref="L123">_xlfn.IFS(J123&lt;=49,"Needs Improvement",J123&lt;=69,"Developing",J123&lt;=84,"Achieving",J123&lt;=94,"Exceeding",J123&lt;=100,"Outstanding")</f>
        <v>Achieving</v>
      </c>
      <c r="M123" s="13">
        <f>_xlfn.XLOOKUP(Transformed_Raw_Employee_Data!L123,Lookup_Performance!$C$2:$C$6,Lookup_Performance!$D$2:$D$6)</f>
        <v>0.05</v>
      </c>
      <c r="N123" s="8">
        <f t="shared" si="5"/>
        <v>3031.15</v>
      </c>
    </row>
    <row r="124" spans="1:14" x14ac:dyDescent="0.25">
      <c r="A124" t="s">
        <v>242</v>
      </c>
      <c r="B124" t="s">
        <v>66</v>
      </c>
      <c r="C124" t="s">
        <v>32</v>
      </c>
      <c r="D124" t="str">
        <f t="shared" si="4"/>
        <v>James Johnson</v>
      </c>
      <c r="E124" t="s">
        <v>97</v>
      </c>
      <c r="F124" t="str">
        <f>_xlfn.XLOOKUP(E124,Lookup_Departments!$A$2:$A$7,Lookup_Departments!$B$2:$B$7)</f>
        <v>Human Resources</v>
      </c>
      <c r="G124" s="4">
        <v>44112</v>
      </c>
      <c r="H124" s="11">
        <v>5</v>
      </c>
      <c r="I124" s="8">
        <v>68092</v>
      </c>
      <c r="J124">
        <v>93</v>
      </c>
      <c r="K124" t="s">
        <v>45</v>
      </c>
      <c r="L124" t="str" cm="1">
        <f t="array" ref="L124">_xlfn.IFS(J124&lt;=49,"Needs Improvement",J124&lt;=69,"Developing",J124&lt;=84,"Achieving",J124&lt;=94,"Exceeding",J124&lt;=100,"Outstanding")</f>
        <v>Exceeding</v>
      </c>
      <c r="M124" s="13">
        <f>_xlfn.XLOOKUP(Transformed_Raw_Employee_Data!L124,Lookup_Performance!$C$2:$C$6,Lookup_Performance!$D$2:$D$6)</f>
        <v>0.08</v>
      </c>
      <c r="N124" s="8">
        <f t="shared" si="5"/>
        <v>5447.36</v>
      </c>
    </row>
    <row r="125" spans="1:14" x14ac:dyDescent="0.25">
      <c r="A125" t="s">
        <v>245</v>
      </c>
      <c r="B125" t="s">
        <v>43</v>
      </c>
      <c r="C125" t="s">
        <v>36</v>
      </c>
      <c r="D125" t="str">
        <f t="shared" si="4"/>
        <v>Michael Wilson</v>
      </c>
      <c r="E125" t="s">
        <v>16</v>
      </c>
      <c r="F125" t="str">
        <f>_xlfn.XLOOKUP(E125,Lookup_Departments!$A$2:$A$7,Lookup_Departments!$B$2:$B$7)</f>
        <v>Marketing</v>
      </c>
      <c r="G125" s="4">
        <v>44596</v>
      </c>
      <c r="H125" s="11">
        <v>4</v>
      </c>
      <c r="I125" s="8">
        <v>88155</v>
      </c>
      <c r="J125">
        <v>68</v>
      </c>
      <c r="K125" t="s">
        <v>45</v>
      </c>
      <c r="L125" t="str" cm="1">
        <f t="array" ref="L125">_xlfn.IFS(J125&lt;=49,"Needs Improvement",J125&lt;=69,"Developing",J125&lt;=84,"Achieving",J125&lt;=94,"Exceeding",J125&lt;=100,"Outstanding")</f>
        <v>Developing</v>
      </c>
      <c r="M125" s="13">
        <f>_xlfn.XLOOKUP(Transformed_Raw_Employee_Data!L125,Lookup_Performance!$C$2:$C$6,Lookup_Performance!$D$2:$D$6)</f>
        <v>0.02</v>
      </c>
      <c r="N125" s="8">
        <f t="shared" si="5"/>
        <v>1763.1000000000001</v>
      </c>
    </row>
    <row r="126" spans="1:14" x14ac:dyDescent="0.25">
      <c r="A126" t="s">
        <v>246</v>
      </c>
      <c r="B126" t="s">
        <v>160</v>
      </c>
      <c r="C126" t="s">
        <v>60</v>
      </c>
      <c r="D126" t="str">
        <f t="shared" si="4"/>
        <v>William Jones</v>
      </c>
      <c r="E126" t="s">
        <v>16</v>
      </c>
      <c r="F126" t="str">
        <f>_xlfn.XLOOKUP(E126,Lookup_Departments!$A$2:$A$7,Lookup_Departments!$B$2:$B$7)</f>
        <v>Marketing</v>
      </c>
      <c r="G126" s="4">
        <v>43183</v>
      </c>
      <c r="H126" s="11">
        <v>8</v>
      </c>
      <c r="I126" s="8">
        <v>107903</v>
      </c>
      <c r="J126">
        <v>42</v>
      </c>
      <c r="K126" t="s">
        <v>45</v>
      </c>
      <c r="L126" t="str" cm="1">
        <f t="array" ref="L126">_xlfn.IFS(J126&lt;=49,"Needs Improvement",J126&lt;=69,"Developing",J126&lt;=84,"Achieving",J126&lt;=94,"Exceeding",J126&lt;=100,"Outstanding")</f>
        <v>Needs Improvement</v>
      </c>
      <c r="M126" s="13">
        <f>_xlfn.XLOOKUP(Transformed_Raw_Employee_Data!L126,Lookup_Performance!$C$2:$C$6,Lookup_Performance!$D$2:$D$6)</f>
        <v>0</v>
      </c>
      <c r="N126" s="8">
        <f t="shared" si="5"/>
        <v>0</v>
      </c>
    </row>
    <row r="127" spans="1:14" x14ac:dyDescent="0.25">
      <c r="A127" t="s">
        <v>248</v>
      </c>
      <c r="B127" t="s">
        <v>160</v>
      </c>
      <c r="C127" t="s">
        <v>54</v>
      </c>
      <c r="D127" t="str">
        <f t="shared" si="4"/>
        <v>William Williams</v>
      </c>
      <c r="E127" t="s">
        <v>11</v>
      </c>
      <c r="F127" t="str">
        <f>_xlfn.XLOOKUP(E127,Lookup_Departments!$A$2:$A$7,Lookup_Departments!$B$2:$B$7)</f>
        <v>Information Technology</v>
      </c>
      <c r="G127" s="4">
        <v>43305</v>
      </c>
      <c r="H127" s="11">
        <v>7</v>
      </c>
      <c r="I127" s="8">
        <v>62818</v>
      </c>
      <c r="J127">
        <v>34</v>
      </c>
      <c r="K127" t="s">
        <v>45</v>
      </c>
      <c r="L127" t="str" cm="1">
        <f t="array" ref="L127">_xlfn.IFS(J127&lt;=49,"Needs Improvement",J127&lt;=69,"Developing",J127&lt;=84,"Achieving",J127&lt;=94,"Exceeding",J127&lt;=100,"Outstanding")</f>
        <v>Needs Improvement</v>
      </c>
      <c r="M127" s="13">
        <f>_xlfn.XLOOKUP(Transformed_Raw_Employee_Data!L127,Lookup_Performance!$C$2:$C$6,Lookup_Performance!$D$2:$D$6)</f>
        <v>0</v>
      </c>
      <c r="N127" s="8">
        <f t="shared" si="5"/>
        <v>0</v>
      </c>
    </row>
    <row r="128" spans="1:14" x14ac:dyDescent="0.25">
      <c r="A128" t="s">
        <v>249</v>
      </c>
      <c r="B128" t="s">
        <v>113</v>
      </c>
      <c r="C128" t="s">
        <v>54</v>
      </c>
      <c r="D128" t="str">
        <f t="shared" si="4"/>
        <v>David Williams</v>
      </c>
      <c r="E128" t="s">
        <v>97</v>
      </c>
      <c r="F128" t="str">
        <f>_xlfn.XLOOKUP(E128,Lookup_Departments!$A$2:$A$7,Lookup_Departments!$B$2:$B$7)</f>
        <v>Human Resources</v>
      </c>
      <c r="G128" s="4">
        <v>43301</v>
      </c>
      <c r="H128" s="11">
        <v>7</v>
      </c>
      <c r="I128" s="8">
        <v>85151</v>
      </c>
      <c r="J128">
        <v>35</v>
      </c>
      <c r="K128" t="s">
        <v>45</v>
      </c>
      <c r="L128" t="str" cm="1">
        <f t="array" ref="L128">_xlfn.IFS(J128&lt;=49,"Needs Improvement",J128&lt;=69,"Developing",J128&lt;=84,"Achieving",J128&lt;=94,"Exceeding",J128&lt;=100,"Outstanding")</f>
        <v>Needs Improvement</v>
      </c>
      <c r="M128" s="13">
        <f>_xlfn.XLOOKUP(Transformed_Raw_Employee_Data!L128,Lookup_Performance!$C$2:$C$6,Lookup_Performance!$D$2:$D$6)</f>
        <v>0</v>
      </c>
      <c r="N128" s="8">
        <f t="shared" si="5"/>
        <v>0</v>
      </c>
    </row>
    <row r="129" spans="1:14" x14ac:dyDescent="0.25">
      <c r="A129" t="s">
        <v>250</v>
      </c>
      <c r="B129" t="s">
        <v>53</v>
      </c>
      <c r="C129" t="s">
        <v>64</v>
      </c>
      <c r="D129" t="str">
        <f t="shared" si="4"/>
        <v>Jane Davis</v>
      </c>
      <c r="E129" t="s">
        <v>26</v>
      </c>
      <c r="F129" t="str">
        <f>_xlfn.XLOOKUP(E129,Lookup_Departments!$A$2:$A$7,Lookup_Departments!$B$2:$B$7)</f>
        <v>Finance</v>
      </c>
      <c r="G129" s="4">
        <v>42463</v>
      </c>
      <c r="H129" s="11">
        <v>10</v>
      </c>
      <c r="I129" s="8">
        <v>46390</v>
      </c>
      <c r="J129">
        <v>95</v>
      </c>
      <c r="K129" t="s">
        <v>45</v>
      </c>
      <c r="L129" t="str" cm="1">
        <f t="array" ref="L129">_xlfn.IFS(J129&lt;=49,"Needs Improvement",J129&lt;=69,"Developing",J129&lt;=84,"Achieving",J129&lt;=94,"Exceeding",J129&lt;=100,"Outstanding")</f>
        <v>Outstanding</v>
      </c>
      <c r="M129" s="13">
        <f>_xlfn.XLOOKUP(Transformed_Raw_Employee_Data!L129,Lookup_Performance!$C$2:$C$6,Lookup_Performance!$D$2:$D$6)</f>
        <v>0.12</v>
      </c>
      <c r="N129" s="8">
        <f t="shared" si="5"/>
        <v>5566.8</v>
      </c>
    </row>
    <row r="130" spans="1:14" x14ac:dyDescent="0.25">
      <c r="A130" t="s">
        <v>252</v>
      </c>
      <c r="B130" t="s">
        <v>24</v>
      </c>
      <c r="C130" t="s">
        <v>25</v>
      </c>
      <c r="D130" t="str">
        <f t="shared" si="4"/>
        <v>John Martinez</v>
      </c>
      <c r="E130" t="s">
        <v>97</v>
      </c>
      <c r="F130" t="str">
        <f>_xlfn.XLOOKUP(E130,Lookup_Departments!$A$2:$A$7,Lookup_Departments!$B$2:$B$7)</f>
        <v>Human Resources</v>
      </c>
      <c r="G130" s="4">
        <v>44643</v>
      </c>
      <c r="H130" s="11">
        <v>4</v>
      </c>
      <c r="I130" s="8">
        <v>111920</v>
      </c>
      <c r="J130">
        <v>90</v>
      </c>
      <c r="K130" t="s">
        <v>30</v>
      </c>
      <c r="L130" t="str" cm="1">
        <f t="array" ref="L130">_xlfn.IFS(J130&lt;=49,"Needs Improvement",J130&lt;=69,"Developing",J130&lt;=84,"Achieving",J130&lt;=94,"Exceeding",J130&lt;=100,"Outstanding")</f>
        <v>Exceeding</v>
      </c>
      <c r="M130" s="13">
        <f>_xlfn.XLOOKUP(Transformed_Raw_Employee_Data!L130,Lookup_Performance!$C$2:$C$6,Lookup_Performance!$D$2:$D$6)</f>
        <v>0.08</v>
      </c>
      <c r="N130" s="8">
        <f t="shared" si="5"/>
        <v>8953.6</v>
      </c>
    </row>
    <row r="131" spans="1:14" x14ac:dyDescent="0.25">
      <c r="A131" t="s">
        <v>253</v>
      </c>
      <c r="B131" t="s">
        <v>113</v>
      </c>
      <c r="C131" t="s">
        <v>135</v>
      </c>
      <c r="D131" t="str">
        <f t="shared" ref="D131:D151" si="6">_xlfn.TEXTJOIN(" ",TRUE,B131,C131)</f>
        <v>David Anderson</v>
      </c>
      <c r="E131" t="s">
        <v>97</v>
      </c>
      <c r="F131" t="str">
        <f>_xlfn.XLOOKUP(E131,Lookup_Departments!$A$2:$A$7,Lookup_Departments!$B$2:$B$7)</f>
        <v>Human Resources</v>
      </c>
      <c r="G131" s="4">
        <v>42944</v>
      </c>
      <c r="H131" s="11">
        <v>8</v>
      </c>
      <c r="I131" s="8">
        <v>115618</v>
      </c>
      <c r="J131">
        <v>42</v>
      </c>
      <c r="K131" t="s">
        <v>45</v>
      </c>
      <c r="L131" t="str" cm="1">
        <f t="array" ref="L131">_xlfn.IFS(J131&lt;=49,"Needs Improvement",J131&lt;=69,"Developing",J131&lt;=84,"Achieving",J131&lt;=94,"Exceeding",J131&lt;=100,"Outstanding")</f>
        <v>Needs Improvement</v>
      </c>
      <c r="M131" s="13">
        <f>_xlfn.XLOOKUP(Transformed_Raw_Employee_Data!L131,Lookup_Performance!$C$2:$C$6,Lookup_Performance!$D$2:$D$6)</f>
        <v>0</v>
      </c>
      <c r="N131" s="8">
        <f t="shared" ref="N131:N151" si="7">I131*M131</f>
        <v>0</v>
      </c>
    </row>
    <row r="132" spans="1:14" x14ac:dyDescent="0.25">
      <c r="A132" t="s">
        <v>256</v>
      </c>
      <c r="B132" t="s">
        <v>94</v>
      </c>
      <c r="C132" t="s">
        <v>29</v>
      </c>
      <c r="D132" t="str">
        <f t="shared" si="6"/>
        <v>Sarah Smith</v>
      </c>
      <c r="E132" t="s">
        <v>44</v>
      </c>
      <c r="F132" t="str">
        <f>_xlfn.XLOOKUP(E132,Lookup_Departments!$A$2:$A$7,Lookup_Departments!$B$2:$B$7)</f>
        <v>Sales</v>
      </c>
      <c r="G132" s="4">
        <v>45235</v>
      </c>
      <c r="H132" s="11">
        <v>2</v>
      </c>
      <c r="I132" s="8">
        <v>110618</v>
      </c>
      <c r="J132">
        <v>88</v>
      </c>
      <c r="K132" t="s">
        <v>116</v>
      </c>
      <c r="L132" t="str" cm="1">
        <f t="array" ref="L132">_xlfn.IFS(J132&lt;=49,"Needs Improvement",J132&lt;=69,"Developing",J132&lt;=84,"Achieving",J132&lt;=94,"Exceeding",J132&lt;=100,"Outstanding")</f>
        <v>Exceeding</v>
      </c>
      <c r="M132" s="13">
        <f>_xlfn.XLOOKUP(Transformed_Raw_Employee_Data!L132,Lookup_Performance!$C$2:$C$6,Lookup_Performance!$D$2:$D$6)</f>
        <v>0.08</v>
      </c>
      <c r="N132" s="8">
        <f t="shared" si="7"/>
        <v>8849.44</v>
      </c>
    </row>
    <row r="133" spans="1:14" x14ac:dyDescent="0.25">
      <c r="A133" t="s">
        <v>259</v>
      </c>
      <c r="B133" t="s">
        <v>105</v>
      </c>
      <c r="C133" t="s">
        <v>15</v>
      </c>
      <c r="D133" t="str">
        <f t="shared" si="6"/>
        <v>Melissa Hernandez</v>
      </c>
      <c r="E133" t="s">
        <v>33</v>
      </c>
      <c r="F133" t="str">
        <f>_xlfn.XLOOKUP(E133,Lookup_Departments!$A$2:$A$7,Lookup_Departments!$B$2:$B$7)</f>
        <v>Operations</v>
      </c>
      <c r="G133" s="4">
        <v>44639</v>
      </c>
      <c r="H133" s="11">
        <v>4</v>
      </c>
      <c r="I133" s="8">
        <v>108395</v>
      </c>
      <c r="J133">
        <v>78</v>
      </c>
      <c r="K133" t="s">
        <v>30</v>
      </c>
      <c r="L133" t="str" cm="1">
        <f t="array" ref="L133">_xlfn.IFS(J133&lt;=49,"Needs Improvement",J133&lt;=69,"Developing",J133&lt;=84,"Achieving",J133&lt;=94,"Exceeding",J133&lt;=100,"Outstanding")</f>
        <v>Achieving</v>
      </c>
      <c r="M133" s="13">
        <f>_xlfn.XLOOKUP(Transformed_Raw_Employee_Data!L133,Lookup_Performance!$C$2:$C$6,Lookup_Performance!$D$2:$D$6)</f>
        <v>0.05</v>
      </c>
      <c r="N133" s="8">
        <f t="shared" si="7"/>
        <v>5419.75</v>
      </c>
    </row>
    <row r="134" spans="1:14" x14ac:dyDescent="0.25">
      <c r="A134" t="s">
        <v>261</v>
      </c>
      <c r="B134" t="s">
        <v>105</v>
      </c>
      <c r="C134" t="s">
        <v>32</v>
      </c>
      <c r="D134" t="str">
        <f t="shared" si="6"/>
        <v>Melissa Johnson</v>
      </c>
      <c r="E134" t="s">
        <v>26</v>
      </c>
      <c r="F134" t="str">
        <f>_xlfn.XLOOKUP(E134,Lookup_Departments!$A$2:$A$7,Lookup_Departments!$B$2:$B$7)</f>
        <v>Finance</v>
      </c>
      <c r="G134" s="4">
        <v>43091</v>
      </c>
      <c r="H134" s="11">
        <v>8</v>
      </c>
      <c r="I134" s="8">
        <v>88005</v>
      </c>
      <c r="J134">
        <v>69</v>
      </c>
      <c r="K134" t="s">
        <v>45</v>
      </c>
      <c r="L134" t="str" cm="1">
        <f t="array" ref="L134">_xlfn.IFS(J134&lt;=49,"Needs Improvement",J134&lt;=69,"Developing",J134&lt;=84,"Achieving",J134&lt;=94,"Exceeding",J134&lt;=100,"Outstanding")</f>
        <v>Developing</v>
      </c>
      <c r="M134" s="13">
        <f>_xlfn.XLOOKUP(Transformed_Raw_Employee_Data!L134,Lookup_Performance!$C$2:$C$6,Lookup_Performance!$D$2:$D$6)</f>
        <v>0.02</v>
      </c>
      <c r="N134" s="8">
        <f t="shared" si="7"/>
        <v>1760.1000000000001</v>
      </c>
    </row>
    <row r="135" spans="1:14" x14ac:dyDescent="0.25">
      <c r="A135" t="s">
        <v>262</v>
      </c>
      <c r="B135" t="s">
        <v>53</v>
      </c>
      <c r="C135" t="s">
        <v>133</v>
      </c>
      <c r="D135" t="str">
        <f t="shared" si="6"/>
        <v>Jane Garcia</v>
      </c>
      <c r="E135" t="s">
        <v>16</v>
      </c>
      <c r="F135" t="str">
        <f>_xlfn.XLOOKUP(E135,Lookup_Departments!$A$2:$A$7,Lookup_Departments!$B$2:$B$7)</f>
        <v>Marketing</v>
      </c>
      <c r="G135" s="4">
        <v>44437</v>
      </c>
      <c r="H135" s="11">
        <v>4</v>
      </c>
      <c r="I135" s="8">
        <v>83007</v>
      </c>
      <c r="J135">
        <v>82</v>
      </c>
      <c r="K135" t="s">
        <v>45</v>
      </c>
      <c r="L135" t="str" cm="1">
        <f t="array" ref="L135">_xlfn.IFS(J135&lt;=49,"Needs Improvement",J135&lt;=69,"Developing",J135&lt;=84,"Achieving",J135&lt;=94,"Exceeding",J135&lt;=100,"Outstanding")</f>
        <v>Achieving</v>
      </c>
      <c r="M135" s="13">
        <f>_xlfn.XLOOKUP(Transformed_Raw_Employee_Data!L135,Lookup_Performance!$C$2:$C$6,Lookup_Performance!$D$2:$D$6)</f>
        <v>0.05</v>
      </c>
      <c r="N135" s="8">
        <f t="shared" si="7"/>
        <v>4150.3500000000004</v>
      </c>
    </row>
    <row r="136" spans="1:14" x14ac:dyDescent="0.25">
      <c r="A136" t="s">
        <v>264</v>
      </c>
      <c r="B136" t="s">
        <v>113</v>
      </c>
      <c r="C136" t="s">
        <v>64</v>
      </c>
      <c r="D136" t="str">
        <f t="shared" si="6"/>
        <v>David Davis</v>
      </c>
      <c r="E136" t="s">
        <v>11</v>
      </c>
      <c r="F136" t="str">
        <f>_xlfn.XLOOKUP(E136,Lookup_Departments!$A$2:$A$7,Lookup_Departments!$B$2:$B$7)</f>
        <v>Information Technology</v>
      </c>
      <c r="G136" s="4">
        <v>43360</v>
      </c>
      <c r="H136" s="11">
        <v>7</v>
      </c>
      <c r="I136" s="8">
        <v>61547</v>
      </c>
      <c r="J136">
        <v>68</v>
      </c>
      <c r="K136" t="s">
        <v>45</v>
      </c>
      <c r="L136" t="str" cm="1">
        <f t="array" ref="L136">_xlfn.IFS(J136&lt;=49,"Needs Improvement",J136&lt;=69,"Developing",J136&lt;=84,"Achieving",J136&lt;=94,"Exceeding",J136&lt;=100,"Outstanding")</f>
        <v>Developing</v>
      </c>
      <c r="M136" s="13">
        <f>_xlfn.XLOOKUP(Transformed_Raw_Employee_Data!L136,Lookup_Performance!$C$2:$C$6,Lookup_Performance!$D$2:$D$6)</f>
        <v>0.02</v>
      </c>
      <c r="N136" s="8">
        <f t="shared" si="7"/>
        <v>1230.94</v>
      </c>
    </row>
    <row r="137" spans="1:14" x14ac:dyDescent="0.25">
      <c r="A137" t="s">
        <v>266</v>
      </c>
      <c r="B137" t="s">
        <v>66</v>
      </c>
      <c r="C137" t="s">
        <v>36</v>
      </c>
      <c r="D137" t="str">
        <f t="shared" si="6"/>
        <v>James Wilson</v>
      </c>
      <c r="E137" t="s">
        <v>44</v>
      </c>
      <c r="F137" t="str">
        <f>_xlfn.XLOOKUP(E137,Lookup_Departments!$A$2:$A$7,Lookup_Departments!$B$2:$B$7)</f>
        <v>Sales</v>
      </c>
      <c r="G137" s="4">
        <v>44375</v>
      </c>
      <c r="H137" s="11">
        <v>5</v>
      </c>
      <c r="I137" s="8">
        <v>64757.870967741903</v>
      </c>
      <c r="J137">
        <v>52</v>
      </c>
      <c r="K137" t="s">
        <v>45</v>
      </c>
      <c r="L137" t="str" cm="1">
        <f t="array" ref="L137">_xlfn.IFS(J137&lt;=49,"Needs Improvement",J137&lt;=69,"Developing",J137&lt;=84,"Achieving",J137&lt;=94,"Exceeding",J137&lt;=100,"Outstanding")</f>
        <v>Developing</v>
      </c>
      <c r="M137" s="13">
        <f>_xlfn.XLOOKUP(Transformed_Raw_Employee_Data!L137,Lookup_Performance!$C$2:$C$6,Lookup_Performance!$D$2:$D$6)</f>
        <v>0.02</v>
      </c>
      <c r="N137" s="8">
        <f t="shared" si="7"/>
        <v>1295.1574193548381</v>
      </c>
    </row>
    <row r="138" spans="1:14" x14ac:dyDescent="0.25">
      <c r="A138" t="s">
        <v>267</v>
      </c>
      <c r="B138" t="s">
        <v>14</v>
      </c>
      <c r="C138" t="s">
        <v>32</v>
      </c>
      <c r="D138" t="str">
        <f t="shared" si="6"/>
        <v>Richard Johnson</v>
      </c>
      <c r="E138" t="s">
        <v>33</v>
      </c>
      <c r="F138" t="str">
        <f>_xlfn.XLOOKUP(E138,Lookup_Departments!$A$2:$A$7,Lookup_Departments!$B$2:$B$7)</f>
        <v>Operations</v>
      </c>
      <c r="G138" s="4">
        <v>42804</v>
      </c>
      <c r="H138" s="11">
        <v>9</v>
      </c>
      <c r="I138" s="8">
        <v>50399</v>
      </c>
      <c r="J138">
        <v>92</v>
      </c>
      <c r="K138" t="s">
        <v>30</v>
      </c>
      <c r="L138" t="str" cm="1">
        <f t="array" ref="L138">_xlfn.IFS(J138&lt;=49,"Needs Improvement",J138&lt;=69,"Developing",J138&lt;=84,"Achieving",J138&lt;=94,"Exceeding",J138&lt;=100,"Outstanding")</f>
        <v>Exceeding</v>
      </c>
      <c r="M138" s="13">
        <f>_xlfn.XLOOKUP(Transformed_Raw_Employee_Data!L138,Lookup_Performance!$C$2:$C$6,Lookup_Performance!$D$2:$D$6)</f>
        <v>0.08</v>
      </c>
      <c r="N138" s="8">
        <f t="shared" si="7"/>
        <v>4031.92</v>
      </c>
    </row>
    <row r="139" spans="1:14" x14ac:dyDescent="0.25">
      <c r="A139" t="s">
        <v>269</v>
      </c>
      <c r="B139" t="s">
        <v>14</v>
      </c>
      <c r="C139" t="s">
        <v>54</v>
      </c>
      <c r="D139" t="str">
        <f t="shared" si="6"/>
        <v>Richard Williams</v>
      </c>
      <c r="E139" t="s">
        <v>26</v>
      </c>
      <c r="F139" t="str">
        <f>_xlfn.XLOOKUP(E139,Lookup_Departments!$A$2:$A$7,Lookup_Departments!$B$2:$B$7)</f>
        <v>Finance</v>
      </c>
      <c r="G139" s="4">
        <v>42299</v>
      </c>
      <c r="H139" s="11">
        <v>10</v>
      </c>
      <c r="I139" s="8">
        <v>72419.941176470602</v>
      </c>
      <c r="J139">
        <v>62</v>
      </c>
      <c r="K139" t="s">
        <v>45</v>
      </c>
      <c r="L139" t="str" cm="1">
        <f t="array" ref="L139">_xlfn.IFS(J139&lt;=49,"Needs Improvement",J139&lt;=69,"Developing",J139&lt;=84,"Achieving",J139&lt;=94,"Exceeding",J139&lt;=100,"Outstanding")</f>
        <v>Developing</v>
      </c>
      <c r="M139" s="13">
        <f>_xlfn.XLOOKUP(Transformed_Raw_Employee_Data!L139,Lookup_Performance!$C$2:$C$6,Lookup_Performance!$D$2:$D$6)</f>
        <v>0.02</v>
      </c>
      <c r="N139" s="8">
        <f t="shared" si="7"/>
        <v>1448.3988235294121</v>
      </c>
    </row>
    <row r="140" spans="1:14" x14ac:dyDescent="0.25">
      <c r="A140" t="s">
        <v>271</v>
      </c>
      <c r="B140" t="s">
        <v>24</v>
      </c>
      <c r="C140" t="s">
        <v>15</v>
      </c>
      <c r="D140" t="str">
        <f t="shared" si="6"/>
        <v>John Hernandez</v>
      </c>
      <c r="E140" t="s">
        <v>33</v>
      </c>
      <c r="F140" t="str">
        <f>_xlfn.XLOOKUP(E140,Lookup_Departments!$A$2:$A$7,Lookup_Departments!$B$2:$B$7)</f>
        <v>Operations</v>
      </c>
      <c r="G140" s="4">
        <v>43257</v>
      </c>
      <c r="H140" s="11">
        <v>8</v>
      </c>
      <c r="I140" s="8">
        <v>52720</v>
      </c>
      <c r="J140">
        <v>68</v>
      </c>
      <c r="K140" t="s">
        <v>45</v>
      </c>
      <c r="L140" t="str" cm="1">
        <f t="array" ref="L140">_xlfn.IFS(J140&lt;=49,"Needs Improvement",J140&lt;=69,"Developing",J140&lt;=84,"Achieving",J140&lt;=94,"Exceeding",J140&lt;=100,"Outstanding")</f>
        <v>Developing</v>
      </c>
      <c r="M140" s="13">
        <f>_xlfn.XLOOKUP(Transformed_Raw_Employee_Data!L140,Lookup_Performance!$C$2:$C$6,Lookup_Performance!$D$2:$D$6)</f>
        <v>0.02</v>
      </c>
      <c r="N140" s="8">
        <f t="shared" si="7"/>
        <v>1054.4000000000001</v>
      </c>
    </row>
    <row r="141" spans="1:14" x14ac:dyDescent="0.25">
      <c r="A141" t="s">
        <v>272</v>
      </c>
      <c r="B141" t="s">
        <v>94</v>
      </c>
      <c r="C141" t="s">
        <v>19</v>
      </c>
      <c r="D141" t="str">
        <f t="shared" si="6"/>
        <v>Sarah Gonzalez</v>
      </c>
      <c r="E141" t="s">
        <v>33</v>
      </c>
      <c r="F141" t="str">
        <f>_xlfn.XLOOKUP(E141,Lookup_Departments!$A$2:$A$7,Lookup_Departments!$B$2:$B$7)</f>
        <v>Operations</v>
      </c>
      <c r="G141" s="4">
        <v>42932</v>
      </c>
      <c r="H141" s="11">
        <v>8</v>
      </c>
      <c r="I141" s="8">
        <v>65065</v>
      </c>
      <c r="J141">
        <v>98</v>
      </c>
      <c r="K141" t="s">
        <v>45</v>
      </c>
      <c r="L141" t="str" cm="1">
        <f t="array" ref="L141">_xlfn.IFS(J141&lt;=49,"Needs Improvement",J141&lt;=69,"Developing",J141&lt;=84,"Achieving",J141&lt;=94,"Exceeding",J141&lt;=100,"Outstanding")</f>
        <v>Outstanding</v>
      </c>
      <c r="M141" s="13">
        <f>_xlfn.XLOOKUP(Transformed_Raw_Employee_Data!L141,Lookup_Performance!$C$2:$C$6,Lookup_Performance!$D$2:$D$6)</f>
        <v>0.12</v>
      </c>
      <c r="N141" s="8">
        <f t="shared" si="7"/>
        <v>7807.7999999999993</v>
      </c>
    </row>
    <row r="142" spans="1:14" x14ac:dyDescent="0.25">
      <c r="A142" t="s">
        <v>273</v>
      </c>
      <c r="B142" t="s">
        <v>105</v>
      </c>
      <c r="C142" t="s">
        <v>15</v>
      </c>
      <c r="D142" t="str">
        <f t="shared" si="6"/>
        <v>Melissa Hernandez</v>
      </c>
      <c r="E142" t="s">
        <v>44</v>
      </c>
      <c r="F142" t="str">
        <f>_xlfn.XLOOKUP(E142,Lookup_Departments!$A$2:$A$7,Lookup_Departments!$B$2:$B$7)</f>
        <v>Sales</v>
      </c>
      <c r="G142" s="4">
        <v>42175</v>
      </c>
      <c r="H142" s="11">
        <v>11</v>
      </c>
      <c r="I142" s="8">
        <v>64757.870967741903</v>
      </c>
      <c r="J142">
        <v>94</v>
      </c>
      <c r="K142" t="s">
        <v>116</v>
      </c>
      <c r="L142" t="str" cm="1">
        <f t="array" ref="L142">_xlfn.IFS(J142&lt;=49,"Needs Improvement",J142&lt;=69,"Developing",J142&lt;=84,"Achieving",J142&lt;=94,"Exceeding",J142&lt;=100,"Outstanding")</f>
        <v>Exceeding</v>
      </c>
      <c r="M142" s="13">
        <f>_xlfn.XLOOKUP(Transformed_Raw_Employee_Data!L142,Lookup_Performance!$C$2:$C$6,Lookup_Performance!$D$2:$D$6)</f>
        <v>0.08</v>
      </c>
      <c r="N142" s="8">
        <f t="shared" si="7"/>
        <v>5180.6296774193524</v>
      </c>
    </row>
    <row r="143" spans="1:14" x14ac:dyDescent="0.25">
      <c r="A143" t="s">
        <v>274</v>
      </c>
      <c r="B143" t="s">
        <v>105</v>
      </c>
      <c r="C143" t="s">
        <v>15</v>
      </c>
      <c r="D143" t="str">
        <f t="shared" si="6"/>
        <v>Melissa Hernandez</v>
      </c>
      <c r="E143" t="s">
        <v>33</v>
      </c>
      <c r="F143" t="str">
        <f>_xlfn.XLOOKUP(E143,Lookup_Departments!$A$2:$A$7,Lookup_Departments!$B$2:$B$7)</f>
        <v>Operations</v>
      </c>
      <c r="G143" s="4">
        <v>43609</v>
      </c>
      <c r="H143" s="11">
        <v>7</v>
      </c>
      <c r="I143" s="8">
        <v>108119</v>
      </c>
      <c r="J143">
        <v>57</v>
      </c>
      <c r="K143" t="s">
        <v>116</v>
      </c>
      <c r="L143" t="str" cm="1">
        <f t="array" ref="L143">_xlfn.IFS(J143&lt;=49,"Needs Improvement",J143&lt;=69,"Developing",J143&lt;=84,"Achieving",J143&lt;=94,"Exceeding",J143&lt;=100,"Outstanding")</f>
        <v>Developing</v>
      </c>
      <c r="M143" s="13">
        <f>_xlfn.XLOOKUP(Transformed_Raw_Employee_Data!L143,Lookup_Performance!$C$2:$C$6,Lookup_Performance!$D$2:$D$6)</f>
        <v>0.02</v>
      </c>
      <c r="N143" s="8">
        <f t="shared" si="7"/>
        <v>2162.38</v>
      </c>
    </row>
    <row r="144" spans="1:14" x14ac:dyDescent="0.25">
      <c r="A144" t="s">
        <v>276</v>
      </c>
      <c r="B144" t="s">
        <v>24</v>
      </c>
      <c r="C144" t="s">
        <v>64</v>
      </c>
      <c r="D144" t="str">
        <f t="shared" si="6"/>
        <v>John Davis</v>
      </c>
      <c r="E144" t="s">
        <v>11</v>
      </c>
      <c r="F144" t="str">
        <f>_xlfn.XLOOKUP(E144,Lookup_Departments!$A$2:$A$7,Lookup_Departments!$B$2:$B$7)</f>
        <v>Information Technology</v>
      </c>
      <c r="G144" s="4">
        <v>43887</v>
      </c>
      <c r="H144" s="11">
        <v>6</v>
      </c>
      <c r="I144" s="8">
        <v>68901.166666666701</v>
      </c>
      <c r="J144">
        <v>96</v>
      </c>
      <c r="K144" t="s">
        <v>45</v>
      </c>
      <c r="L144" t="str" cm="1">
        <f t="array" ref="L144">_xlfn.IFS(J144&lt;=49,"Needs Improvement",J144&lt;=69,"Developing",J144&lt;=84,"Achieving",J144&lt;=94,"Exceeding",J144&lt;=100,"Outstanding")</f>
        <v>Outstanding</v>
      </c>
      <c r="M144" s="13">
        <f>_xlfn.XLOOKUP(Transformed_Raw_Employee_Data!L144,Lookup_Performance!$C$2:$C$6,Lookup_Performance!$D$2:$D$6)</f>
        <v>0.12</v>
      </c>
      <c r="N144" s="8">
        <f t="shared" si="7"/>
        <v>8268.1400000000031</v>
      </c>
    </row>
    <row r="145" spans="1:14" x14ac:dyDescent="0.25">
      <c r="A145" t="s">
        <v>277</v>
      </c>
      <c r="B145" t="s">
        <v>14</v>
      </c>
      <c r="C145" t="s">
        <v>64</v>
      </c>
      <c r="D145" t="str">
        <f t="shared" si="6"/>
        <v>Richard Davis</v>
      </c>
      <c r="E145" t="s">
        <v>97</v>
      </c>
      <c r="F145" t="str">
        <f>_xlfn.XLOOKUP(E145,Lookup_Departments!$A$2:$A$7,Lookup_Departments!$B$2:$B$7)</f>
        <v>Human Resources</v>
      </c>
      <c r="G145" s="4">
        <v>45080</v>
      </c>
      <c r="H145" s="11">
        <v>3</v>
      </c>
      <c r="I145" s="8">
        <v>106896</v>
      </c>
      <c r="J145">
        <v>52</v>
      </c>
      <c r="K145" t="s">
        <v>30</v>
      </c>
      <c r="L145" t="str" cm="1">
        <f t="array" ref="L145">_xlfn.IFS(J145&lt;=49,"Needs Improvement",J145&lt;=69,"Developing",J145&lt;=84,"Achieving",J145&lt;=94,"Exceeding",J145&lt;=100,"Outstanding")</f>
        <v>Developing</v>
      </c>
      <c r="M145" s="13">
        <f>_xlfn.XLOOKUP(Transformed_Raw_Employee_Data!L145,Lookup_Performance!$C$2:$C$6,Lookup_Performance!$D$2:$D$6)</f>
        <v>0.02</v>
      </c>
      <c r="N145" s="8">
        <f t="shared" si="7"/>
        <v>2137.92</v>
      </c>
    </row>
    <row r="146" spans="1:14" x14ac:dyDescent="0.25">
      <c r="A146" t="s">
        <v>278</v>
      </c>
      <c r="C146" t="s">
        <v>60</v>
      </c>
      <c r="D146" t="str">
        <f t="shared" si="6"/>
        <v>Jones</v>
      </c>
      <c r="E146" t="s">
        <v>11</v>
      </c>
      <c r="F146" t="str">
        <f>_xlfn.XLOOKUP(E146,Lookup_Departments!$A$2:$A$7,Lookup_Departments!$B$2:$B$7)</f>
        <v>Information Technology</v>
      </c>
      <c r="G146" s="4">
        <v>43800</v>
      </c>
      <c r="H146" s="11">
        <v>6</v>
      </c>
      <c r="I146" s="8">
        <v>112887</v>
      </c>
      <c r="J146">
        <v>59</v>
      </c>
      <c r="K146" t="s">
        <v>45</v>
      </c>
      <c r="L146" t="str" cm="1">
        <f t="array" ref="L146">_xlfn.IFS(J146&lt;=49,"Needs Improvement",J146&lt;=69,"Developing",J146&lt;=84,"Achieving",J146&lt;=94,"Exceeding",J146&lt;=100,"Outstanding")</f>
        <v>Developing</v>
      </c>
      <c r="M146" s="13">
        <f>_xlfn.XLOOKUP(Transformed_Raw_Employee_Data!L146,Lookup_Performance!$C$2:$C$6,Lookup_Performance!$D$2:$D$6)</f>
        <v>0.02</v>
      </c>
      <c r="N146" s="8">
        <f t="shared" si="7"/>
        <v>2257.7400000000002</v>
      </c>
    </row>
    <row r="147" spans="1:14" x14ac:dyDescent="0.25">
      <c r="A147" t="s">
        <v>280</v>
      </c>
      <c r="B147" t="s">
        <v>160</v>
      </c>
      <c r="C147" t="s">
        <v>41</v>
      </c>
      <c r="D147" t="str">
        <f t="shared" si="6"/>
        <v>William Rodriguez</v>
      </c>
      <c r="E147" t="s">
        <v>26</v>
      </c>
      <c r="F147" t="str">
        <f>_xlfn.XLOOKUP(E147,Lookup_Departments!$A$2:$A$7,Lookup_Departments!$B$2:$B$7)</f>
        <v>Finance</v>
      </c>
      <c r="G147" s="4">
        <v>45037</v>
      </c>
      <c r="H147" s="11">
        <v>3</v>
      </c>
      <c r="I147" s="8">
        <v>85457</v>
      </c>
      <c r="J147">
        <v>79</v>
      </c>
      <c r="K147" t="s">
        <v>45</v>
      </c>
      <c r="L147" t="str" cm="1">
        <f t="array" ref="L147">_xlfn.IFS(J147&lt;=49,"Needs Improvement",J147&lt;=69,"Developing",J147&lt;=84,"Achieving",J147&lt;=94,"Exceeding",J147&lt;=100,"Outstanding")</f>
        <v>Achieving</v>
      </c>
      <c r="M147" s="13">
        <f>_xlfn.XLOOKUP(Transformed_Raw_Employee_Data!L147,Lookup_Performance!$C$2:$C$6,Lookup_Performance!$D$2:$D$6)</f>
        <v>0.05</v>
      </c>
      <c r="N147" s="8">
        <f t="shared" si="7"/>
        <v>4272.8500000000004</v>
      </c>
    </row>
    <row r="148" spans="1:14" x14ac:dyDescent="0.25">
      <c r="A148" t="s">
        <v>281</v>
      </c>
      <c r="B148" t="s">
        <v>105</v>
      </c>
      <c r="C148" t="s">
        <v>47</v>
      </c>
      <c r="D148" t="str">
        <f t="shared" si="6"/>
        <v>Melissa Miller</v>
      </c>
      <c r="E148" t="s">
        <v>44</v>
      </c>
      <c r="F148" t="str">
        <f>_xlfn.XLOOKUP(E148,Lookup_Departments!$A$2:$A$7,Lookup_Departments!$B$2:$B$7)</f>
        <v>Sales</v>
      </c>
      <c r="G148" s="4">
        <v>42519</v>
      </c>
      <c r="H148" s="11">
        <v>10</v>
      </c>
      <c r="I148" s="8">
        <v>62798</v>
      </c>
      <c r="J148">
        <v>30</v>
      </c>
      <c r="K148" t="s">
        <v>45</v>
      </c>
      <c r="L148" t="str" cm="1">
        <f t="array" ref="L148">_xlfn.IFS(J148&lt;=49,"Needs Improvement",J148&lt;=69,"Developing",J148&lt;=84,"Achieving",J148&lt;=94,"Exceeding",J148&lt;=100,"Outstanding")</f>
        <v>Needs Improvement</v>
      </c>
      <c r="M148" s="13">
        <f>_xlfn.XLOOKUP(Transformed_Raw_Employee_Data!L148,Lookup_Performance!$C$2:$C$6,Lookup_Performance!$D$2:$D$6)</f>
        <v>0</v>
      </c>
      <c r="N148" s="8">
        <f t="shared" si="7"/>
        <v>0</v>
      </c>
    </row>
    <row r="149" spans="1:14" x14ac:dyDescent="0.25">
      <c r="A149" t="s">
        <v>282</v>
      </c>
      <c r="B149" t="s">
        <v>9</v>
      </c>
      <c r="C149" t="s">
        <v>25</v>
      </c>
      <c r="D149" t="str">
        <f t="shared" si="6"/>
        <v>Emily Martinez</v>
      </c>
      <c r="E149" t="s">
        <v>33</v>
      </c>
      <c r="F149" t="str">
        <f>_xlfn.XLOOKUP(E149,Lookup_Departments!$A$2:$A$7,Lookup_Departments!$B$2:$B$7)</f>
        <v>Operations</v>
      </c>
      <c r="G149" s="4">
        <v>44711</v>
      </c>
      <c r="H149" s="11">
        <v>4</v>
      </c>
      <c r="I149" s="8">
        <v>47794</v>
      </c>
      <c r="J149">
        <v>73</v>
      </c>
      <c r="K149" t="s">
        <v>30</v>
      </c>
      <c r="L149" t="str" cm="1">
        <f t="array" ref="L149">_xlfn.IFS(J149&lt;=49,"Needs Improvement",J149&lt;=69,"Developing",J149&lt;=84,"Achieving",J149&lt;=94,"Exceeding",J149&lt;=100,"Outstanding")</f>
        <v>Achieving</v>
      </c>
      <c r="M149" s="13">
        <f>_xlfn.XLOOKUP(Transformed_Raw_Employee_Data!L149,Lookup_Performance!$C$2:$C$6,Lookup_Performance!$D$2:$D$6)</f>
        <v>0.05</v>
      </c>
      <c r="N149" s="8">
        <f t="shared" si="7"/>
        <v>2389.7000000000003</v>
      </c>
    </row>
    <row r="150" spans="1:14" x14ac:dyDescent="0.25">
      <c r="A150" t="s">
        <v>283</v>
      </c>
      <c r="B150" t="s">
        <v>66</v>
      </c>
      <c r="C150" t="s">
        <v>41</v>
      </c>
      <c r="D150" t="str">
        <f t="shared" si="6"/>
        <v>James Rodriguez</v>
      </c>
      <c r="E150" t="s">
        <v>16</v>
      </c>
      <c r="F150" t="str">
        <f>_xlfn.XLOOKUP(E150,Lookup_Departments!$A$2:$A$7,Lookup_Departments!$B$2:$B$7)</f>
        <v>Marketing</v>
      </c>
      <c r="G150" s="4">
        <v>42440</v>
      </c>
      <c r="H150" s="11">
        <v>10</v>
      </c>
      <c r="I150" s="8">
        <v>93094</v>
      </c>
      <c r="J150">
        <v>74</v>
      </c>
      <c r="K150" t="s">
        <v>45</v>
      </c>
      <c r="L150" t="str" cm="1">
        <f t="array" ref="L150">_xlfn.IFS(J150&lt;=49,"Needs Improvement",J150&lt;=69,"Developing",J150&lt;=84,"Achieving",J150&lt;=94,"Exceeding",J150&lt;=100,"Outstanding")</f>
        <v>Achieving</v>
      </c>
      <c r="M150" s="13">
        <f>_xlfn.XLOOKUP(Transformed_Raw_Employee_Data!L150,Lookup_Performance!$C$2:$C$6,Lookup_Performance!$D$2:$D$6)</f>
        <v>0.05</v>
      </c>
      <c r="N150" s="8">
        <f t="shared" si="7"/>
        <v>4654.7</v>
      </c>
    </row>
    <row r="151" spans="1:14" x14ac:dyDescent="0.25">
      <c r="A151" t="s">
        <v>285</v>
      </c>
      <c r="B151" t="s">
        <v>71</v>
      </c>
      <c r="C151" t="s">
        <v>10</v>
      </c>
      <c r="D151" t="str">
        <f t="shared" si="6"/>
        <v>Amanda Brown</v>
      </c>
      <c r="E151" t="s">
        <v>11</v>
      </c>
      <c r="F151" t="str">
        <f>_xlfn.XLOOKUP(E151,Lookup_Departments!$A$2:$A$7,Lookup_Departments!$B$2:$B$7)</f>
        <v>Information Technology</v>
      </c>
      <c r="G151" s="4">
        <v>44848</v>
      </c>
      <c r="H151" s="11">
        <v>3</v>
      </c>
      <c r="I151" s="8">
        <v>118634</v>
      </c>
      <c r="J151">
        <v>91</v>
      </c>
      <c r="K151" t="s">
        <v>45</v>
      </c>
      <c r="L151" t="str" cm="1">
        <f t="array" ref="L151">_xlfn.IFS(J151&lt;=49,"Needs Improvement",J151&lt;=69,"Developing",J151&lt;=84,"Achieving",J151&lt;=94,"Exceeding",J151&lt;=100,"Outstanding")</f>
        <v>Exceeding</v>
      </c>
      <c r="M151" s="13">
        <f>_xlfn.XLOOKUP(Transformed_Raw_Employee_Data!L151,Lookup_Performance!$C$2:$C$6,Lookup_Performance!$D$2:$D$6)</f>
        <v>0.08</v>
      </c>
      <c r="N151" s="8">
        <f t="shared" si="7"/>
        <v>9490.7199999999993</v>
      </c>
    </row>
  </sheetData>
  <autoFilter ref="E1:E151" xr:uid="{00000000-0001-0000-0000-000000000000}"/>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F5" sqref="F5"/>
    </sheetView>
  </sheetViews>
  <sheetFormatPr defaultRowHeight="15" x14ac:dyDescent="0.25"/>
  <cols>
    <col min="1" max="1" width="10.85546875" bestFit="1" customWidth="1"/>
    <col min="2" max="2" width="22.5703125" bestFit="1" customWidth="1"/>
  </cols>
  <sheetData>
    <row r="1" spans="1:2" x14ac:dyDescent="0.25">
      <c r="A1" s="1" t="s">
        <v>287</v>
      </c>
      <c r="B1" s="1" t="s">
        <v>288</v>
      </c>
    </row>
    <row r="2" spans="1:2" x14ac:dyDescent="0.25">
      <c r="A2" t="s">
        <v>97</v>
      </c>
      <c r="B2" t="s">
        <v>289</v>
      </c>
    </row>
    <row r="3" spans="1:2" x14ac:dyDescent="0.25">
      <c r="A3" t="s">
        <v>11</v>
      </c>
      <c r="B3" t="s">
        <v>290</v>
      </c>
    </row>
    <row r="4" spans="1:2" x14ac:dyDescent="0.25">
      <c r="A4" t="s">
        <v>26</v>
      </c>
      <c r="B4" t="s">
        <v>291</v>
      </c>
    </row>
    <row r="5" spans="1:2" x14ac:dyDescent="0.25">
      <c r="A5" t="s">
        <v>16</v>
      </c>
      <c r="B5" t="s">
        <v>292</v>
      </c>
    </row>
    <row r="6" spans="1:2" x14ac:dyDescent="0.25">
      <c r="A6" t="s">
        <v>44</v>
      </c>
      <c r="B6" t="s">
        <v>293</v>
      </c>
    </row>
    <row r="7" spans="1:2" x14ac:dyDescent="0.25">
      <c r="A7" t="s">
        <v>33</v>
      </c>
      <c r="B7" t="s">
        <v>294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D2" sqref="D2"/>
    </sheetView>
  </sheetViews>
  <sheetFormatPr defaultRowHeight="15" x14ac:dyDescent="0.25"/>
  <cols>
    <col min="1" max="1" width="10.42578125" bestFit="1" customWidth="1"/>
    <col min="2" max="2" width="10.7109375" bestFit="1" customWidth="1"/>
    <col min="3" max="3" width="19.5703125" bestFit="1" customWidth="1"/>
    <col min="4" max="4" width="17.7109375" bestFit="1" customWidth="1"/>
  </cols>
  <sheetData>
    <row r="1" spans="1:4" x14ac:dyDescent="0.25">
      <c r="A1" s="1" t="s">
        <v>295</v>
      </c>
      <c r="B1" s="1" t="s">
        <v>296</v>
      </c>
      <c r="C1" s="1" t="s">
        <v>297</v>
      </c>
      <c r="D1" s="1" t="s">
        <v>298</v>
      </c>
    </row>
    <row r="2" spans="1:4" x14ac:dyDescent="0.25">
      <c r="A2">
        <v>0</v>
      </c>
      <c r="B2">
        <v>49</v>
      </c>
      <c r="C2" t="s">
        <v>299</v>
      </c>
      <c r="D2">
        <v>0</v>
      </c>
    </row>
    <row r="3" spans="1:4" x14ac:dyDescent="0.25">
      <c r="A3">
        <v>50</v>
      </c>
      <c r="B3">
        <v>69</v>
      </c>
      <c r="C3" t="s">
        <v>300</v>
      </c>
      <c r="D3">
        <v>0.02</v>
      </c>
    </row>
    <row r="4" spans="1:4" x14ac:dyDescent="0.25">
      <c r="A4">
        <v>70</v>
      </c>
      <c r="B4">
        <v>84</v>
      </c>
      <c r="C4" t="s">
        <v>301</v>
      </c>
      <c r="D4">
        <v>0.05</v>
      </c>
    </row>
    <row r="5" spans="1:4" x14ac:dyDescent="0.25">
      <c r="A5">
        <v>85</v>
      </c>
      <c r="B5">
        <v>94</v>
      </c>
      <c r="C5" t="s">
        <v>302</v>
      </c>
      <c r="D5">
        <v>0.08</v>
      </c>
    </row>
    <row r="6" spans="1:4" x14ac:dyDescent="0.25">
      <c r="A6">
        <v>95</v>
      </c>
      <c r="B6">
        <v>100</v>
      </c>
      <c r="C6" t="s">
        <v>303</v>
      </c>
      <c r="D6">
        <v>0.12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F643D-65F6-4E70-85A2-03ECFEF86931}">
  <dimension ref="A2:J57"/>
  <sheetViews>
    <sheetView zoomScale="86" zoomScaleNormal="86" workbookViewId="0">
      <selection activeCell="J4" sqref="J4"/>
    </sheetView>
  </sheetViews>
  <sheetFormatPr defaultRowHeight="15" x14ac:dyDescent="0.25"/>
  <cols>
    <col min="1" max="1" width="15.28515625" bestFit="1" customWidth="1"/>
    <col min="2" max="2" width="26.85546875" bestFit="1" customWidth="1"/>
    <col min="3" max="3" width="9" bestFit="1" customWidth="1"/>
    <col min="4" max="4" width="23.28515625" bestFit="1" customWidth="1"/>
    <col min="5" max="5" width="20.7109375" bestFit="1" customWidth="1"/>
    <col min="6" max="6" width="13.42578125" bestFit="1" customWidth="1"/>
    <col min="7" max="7" width="10.140625" bestFit="1" customWidth="1"/>
    <col min="8" max="8" width="20.7109375" bestFit="1" customWidth="1"/>
    <col min="9" max="9" width="24.5703125" bestFit="1" customWidth="1"/>
    <col min="10" max="10" width="13.7109375" bestFit="1" customWidth="1"/>
    <col min="11" max="11" width="18.5703125" bestFit="1" customWidth="1"/>
    <col min="12" max="12" width="11.28515625" bestFit="1" customWidth="1"/>
    <col min="13" max="13" width="10.140625" bestFit="1" customWidth="1"/>
    <col min="14" max="14" width="20.42578125" bestFit="1" customWidth="1"/>
    <col min="15" max="15" width="12.28515625" bestFit="1" customWidth="1"/>
    <col min="16" max="16" width="11.5703125" bestFit="1" customWidth="1"/>
    <col min="17" max="19" width="5.85546875" bestFit="1" customWidth="1"/>
    <col min="20" max="20" width="11.5703125" bestFit="1" customWidth="1"/>
    <col min="21" max="21" width="9.28515625" bestFit="1" customWidth="1"/>
    <col min="22" max="22" width="11.28515625" bestFit="1" customWidth="1"/>
    <col min="23" max="24" width="12.42578125" bestFit="1" customWidth="1"/>
    <col min="25" max="25" width="9.7109375" bestFit="1" customWidth="1"/>
    <col min="26" max="26" width="10.42578125" bestFit="1" customWidth="1"/>
    <col min="27" max="27" width="10.7109375" bestFit="1" customWidth="1"/>
    <col min="28" max="28" width="10.140625" bestFit="1" customWidth="1"/>
    <col min="29" max="30" width="11.28515625" bestFit="1" customWidth="1"/>
    <col min="31" max="31" width="9.42578125" bestFit="1" customWidth="1"/>
    <col min="32" max="32" width="11.28515625" bestFit="1" customWidth="1"/>
    <col min="33" max="33" width="9.7109375" bestFit="1" customWidth="1"/>
    <col min="34" max="34" width="10.42578125" bestFit="1" customWidth="1"/>
    <col min="35" max="35" width="10.140625" bestFit="1" customWidth="1"/>
    <col min="36" max="36" width="11.28515625" bestFit="1" customWidth="1"/>
    <col min="37" max="37" width="9.42578125" bestFit="1" customWidth="1"/>
    <col min="38" max="39" width="11.28515625" bestFit="1" customWidth="1"/>
    <col min="40" max="40" width="10" bestFit="1" customWidth="1"/>
    <col min="41" max="41" width="10.42578125" bestFit="1" customWidth="1"/>
    <col min="42" max="43" width="11.28515625" bestFit="1" customWidth="1"/>
    <col min="44" max="44" width="8.42578125" bestFit="1" customWidth="1"/>
    <col min="45" max="45" width="11.28515625" bestFit="1" customWidth="1"/>
    <col min="46" max="46" width="9.42578125" bestFit="1" customWidth="1"/>
    <col min="47" max="47" width="10.42578125" bestFit="1" customWidth="1"/>
    <col min="48" max="48" width="11.28515625" bestFit="1" customWidth="1"/>
    <col min="49" max="49" width="9.28515625" bestFit="1" customWidth="1"/>
    <col min="50" max="52" width="12.42578125" bestFit="1" customWidth="1"/>
    <col min="53" max="53" width="9.7109375" bestFit="1" customWidth="1"/>
    <col min="54" max="54" width="11.28515625" bestFit="1" customWidth="1"/>
    <col min="55" max="55" width="9.42578125" bestFit="1" customWidth="1"/>
    <col min="56" max="56" width="10.42578125" bestFit="1" customWidth="1"/>
    <col min="57" max="57" width="10.7109375" bestFit="1" customWidth="1"/>
    <col min="58" max="58" width="11.28515625" bestFit="1" customWidth="1"/>
    <col min="59" max="59" width="9" bestFit="1" customWidth="1"/>
    <col min="60" max="60" width="11.28515625" bestFit="1" customWidth="1"/>
    <col min="61" max="61" width="9.42578125" bestFit="1" customWidth="1"/>
    <col min="62" max="62" width="10.140625" bestFit="1" customWidth="1"/>
    <col min="63" max="64" width="11.28515625" bestFit="1" customWidth="1"/>
    <col min="65" max="65" width="9.7109375" bestFit="1" customWidth="1"/>
    <col min="66" max="66" width="10.42578125" bestFit="1" customWidth="1"/>
    <col min="67" max="67" width="11.28515625" bestFit="1" customWidth="1"/>
    <col min="68" max="68" width="9.42578125" bestFit="1" customWidth="1"/>
    <col min="69" max="69" width="11.28515625" bestFit="1" customWidth="1"/>
    <col min="70" max="70" width="10" bestFit="1" customWidth="1"/>
    <col min="71" max="71" width="10.140625" bestFit="1" customWidth="1"/>
    <col min="72" max="72" width="11.28515625" bestFit="1" customWidth="1"/>
    <col min="73" max="73" width="9.140625" bestFit="1" customWidth="1"/>
    <col min="74" max="74" width="10.42578125" bestFit="1" customWidth="1"/>
    <col min="75" max="77" width="11.28515625" bestFit="1" customWidth="1"/>
    <col min="78" max="78" width="8.42578125" bestFit="1" customWidth="1"/>
    <col min="79" max="80" width="10.140625" bestFit="1" customWidth="1"/>
    <col min="81" max="81" width="11.28515625" bestFit="1" customWidth="1"/>
    <col min="82" max="82" width="9.42578125" bestFit="1" customWidth="1"/>
    <col min="83" max="83" width="10.42578125" bestFit="1" customWidth="1"/>
    <col min="84" max="84" width="11.28515625" bestFit="1" customWidth="1"/>
    <col min="85" max="85" width="9.28515625" bestFit="1" customWidth="1"/>
    <col min="86" max="87" width="12.42578125" bestFit="1" customWidth="1"/>
    <col min="88" max="88" width="9.42578125" bestFit="1" customWidth="1"/>
    <col min="89" max="89" width="10.42578125" bestFit="1" customWidth="1"/>
    <col min="90" max="90" width="10.7109375" bestFit="1" customWidth="1"/>
    <col min="91" max="91" width="11.28515625" bestFit="1" customWidth="1"/>
    <col min="92" max="92" width="9" bestFit="1" customWidth="1"/>
    <col min="93" max="93" width="10.140625" bestFit="1" customWidth="1"/>
    <col min="94" max="94" width="11.28515625" bestFit="1" customWidth="1"/>
    <col min="95" max="95" width="9.42578125" bestFit="1" customWidth="1"/>
    <col min="96" max="97" width="11.28515625" bestFit="1" customWidth="1"/>
    <col min="98" max="98" width="9.7109375" bestFit="1" customWidth="1"/>
    <col min="99" max="99" width="10.42578125" bestFit="1" customWidth="1"/>
    <col min="100" max="102" width="11.28515625" bestFit="1" customWidth="1"/>
    <col min="103" max="103" width="10" bestFit="1" customWidth="1"/>
    <col min="104" max="104" width="10.140625" bestFit="1" customWidth="1"/>
    <col min="105" max="105" width="11.28515625" bestFit="1" customWidth="1"/>
    <col min="106" max="106" width="9.140625" bestFit="1" customWidth="1"/>
    <col min="107" max="107" width="10.42578125" bestFit="1" customWidth="1"/>
    <col min="108" max="109" width="10.140625" bestFit="1" customWidth="1"/>
    <col min="110" max="111" width="11.28515625" bestFit="1" customWidth="1"/>
    <col min="112" max="112" width="8.42578125" bestFit="1" customWidth="1"/>
    <col min="113" max="114" width="11.28515625" bestFit="1" customWidth="1"/>
    <col min="115" max="115" width="9.42578125" bestFit="1" customWidth="1"/>
    <col min="116" max="116" width="10.42578125" bestFit="1" customWidth="1"/>
    <col min="117" max="117" width="11.28515625" bestFit="1" customWidth="1"/>
    <col min="118" max="118" width="12.42578125" bestFit="1" customWidth="1"/>
    <col min="119" max="119" width="9.42578125" bestFit="1" customWidth="1"/>
    <col min="120" max="120" width="10.42578125" bestFit="1" customWidth="1"/>
    <col min="121" max="121" width="10.7109375" bestFit="1" customWidth="1"/>
    <col min="122" max="122" width="11.28515625" bestFit="1" customWidth="1"/>
    <col min="123" max="123" width="9.42578125" bestFit="1" customWidth="1"/>
    <col min="124" max="124" width="11.28515625" bestFit="1" customWidth="1"/>
    <col min="125" max="125" width="9.7109375" bestFit="1" customWidth="1"/>
    <col min="126" max="126" width="10.42578125" bestFit="1" customWidth="1"/>
    <col min="127" max="127" width="11.28515625" bestFit="1" customWidth="1"/>
    <col min="128" max="128" width="9.42578125" bestFit="1" customWidth="1"/>
    <col min="129" max="129" width="10.140625" bestFit="1" customWidth="1"/>
    <col min="130" max="131" width="11.28515625" bestFit="1" customWidth="1"/>
    <col min="132" max="132" width="10" bestFit="1" customWidth="1"/>
    <col min="133" max="133" width="11.28515625" bestFit="1" customWidth="1"/>
    <col min="134" max="134" width="9.140625" bestFit="1" customWidth="1"/>
    <col min="135" max="135" width="10.42578125" bestFit="1" customWidth="1"/>
    <col min="136" max="136" width="11.28515625" bestFit="1" customWidth="1"/>
    <col min="137" max="137" width="8.42578125" bestFit="1" customWidth="1"/>
    <col min="138" max="138" width="10.140625" bestFit="1" customWidth="1"/>
    <col min="139" max="139" width="9.5703125" bestFit="1" customWidth="1"/>
    <col min="140" max="140" width="10.140625" bestFit="1" customWidth="1"/>
    <col min="141" max="141" width="11.28515625" bestFit="1" customWidth="1"/>
    <col min="142" max="142" width="9.42578125" bestFit="1" customWidth="1"/>
    <col min="143" max="143" width="10.42578125" bestFit="1" customWidth="1"/>
    <col min="144" max="145" width="11.28515625" bestFit="1" customWidth="1"/>
    <col min="146" max="146" width="9.28515625" bestFit="1" customWidth="1"/>
    <col min="147" max="147" width="12.42578125" bestFit="1" customWidth="1"/>
    <col min="148" max="148" width="9.7109375" bestFit="1" customWidth="1"/>
    <col min="149" max="149" width="11.28515625" bestFit="1" customWidth="1"/>
    <col min="150" max="150" width="12.42578125" bestFit="1" customWidth="1"/>
    <col min="151" max="151" width="9.42578125" bestFit="1" customWidth="1"/>
    <col min="152" max="152" width="10.42578125" bestFit="1" customWidth="1"/>
    <col min="153" max="153" width="10.7109375" bestFit="1" customWidth="1"/>
    <col min="154" max="154" width="10.140625" bestFit="1" customWidth="1"/>
    <col min="155" max="156" width="11.28515625" bestFit="1" customWidth="1"/>
    <col min="157" max="157" width="9.42578125" bestFit="1" customWidth="1"/>
    <col min="158" max="158" width="11.28515625" bestFit="1" customWidth="1"/>
    <col min="159" max="159" width="9.7109375" bestFit="1" customWidth="1"/>
    <col min="160" max="160" width="10.42578125" bestFit="1" customWidth="1"/>
    <col min="161" max="161" width="11.28515625" bestFit="1" customWidth="1"/>
    <col min="162" max="162" width="9.42578125" bestFit="1" customWidth="1"/>
    <col min="163" max="163" width="10.140625" bestFit="1" customWidth="1"/>
    <col min="164" max="165" width="11.28515625" bestFit="1" customWidth="1"/>
    <col min="166" max="166" width="10" bestFit="1" customWidth="1"/>
    <col min="167" max="168" width="11.28515625" bestFit="1" customWidth="1"/>
    <col min="169" max="169" width="9.140625" bestFit="1" customWidth="1"/>
    <col min="170" max="170" width="10.42578125" bestFit="1" customWidth="1"/>
    <col min="171" max="172" width="10.140625" bestFit="1" customWidth="1"/>
    <col min="173" max="173" width="8.42578125" bestFit="1" customWidth="1"/>
    <col min="174" max="174" width="11.28515625" bestFit="1" customWidth="1"/>
    <col min="175" max="175" width="9.5703125" bestFit="1" customWidth="1"/>
    <col min="176" max="176" width="11.28515625" bestFit="1" customWidth="1"/>
    <col min="177" max="177" width="9.42578125" bestFit="1" customWidth="1"/>
    <col min="178" max="178" width="10.42578125" bestFit="1" customWidth="1"/>
    <col min="179" max="179" width="11.28515625" bestFit="1" customWidth="1"/>
    <col min="180" max="180" width="9.28515625" bestFit="1" customWidth="1"/>
    <col min="181" max="181" width="12.42578125" bestFit="1" customWidth="1"/>
    <col min="182" max="182" width="9.7109375" bestFit="1" customWidth="1"/>
    <col min="183" max="183" width="12.42578125" bestFit="1" customWidth="1"/>
    <col min="184" max="184" width="9.42578125" bestFit="1" customWidth="1"/>
    <col min="185" max="185" width="10.42578125" bestFit="1" customWidth="1"/>
    <col min="186" max="186" width="10.7109375" bestFit="1" customWidth="1"/>
    <col min="187" max="187" width="10.140625" bestFit="1" customWidth="1"/>
    <col min="188" max="188" width="9.42578125" bestFit="1" customWidth="1"/>
    <col min="189" max="189" width="10.42578125" bestFit="1" customWidth="1"/>
    <col min="190" max="190" width="10.140625" bestFit="1" customWidth="1"/>
    <col min="191" max="192" width="11.28515625" bestFit="1" customWidth="1"/>
    <col min="193" max="193" width="9.140625" bestFit="1" customWidth="1"/>
    <col min="194" max="194" width="10.42578125" bestFit="1" customWidth="1"/>
    <col min="195" max="196" width="10.140625" bestFit="1" customWidth="1"/>
    <col min="197" max="198" width="11.28515625" bestFit="1" customWidth="1"/>
    <col min="199" max="199" width="8.42578125" bestFit="1" customWidth="1"/>
    <col min="200" max="202" width="11.28515625" bestFit="1" customWidth="1"/>
    <col min="203" max="203" width="9.5703125" bestFit="1" customWidth="1"/>
    <col min="204" max="204" width="10.42578125" bestFit="1" customWidth="1"/>
    <col min="205" max="207" width="12.42578125" bestFit="1" customWidth="1"/>
    <col min="208" max="208" width="9.28515625" bestFit="1" customWidth="1"/>
    <col min="209" max="209" width="10.42578125" bestFit="1" customWidth="1"/>
    <col min="210" max="210" width="10.7109375" bestFit="1" customWidth="1"/>
    <col min="211" max="211" width="11.28515625" bestFit="1" customWidth="1"/>
    <col min="212" max="212" width="9" bestFit="1" customWidth="1"/>
    <col min="213" max="213" width="10.140625" bestFit="1" customWidth="1"/>
    <col min="214" max="214" width="11.28515625" bestFit="1" customWidth="1"/>
    <col min="215" max="215" width="9.42578125" bestFit="1" customWidth="1"/>
    <col min="216" max="216" width="10.140625" bestFit="1" customWidth="1"/>
    <col min="217" max="218" width="11.28515625" bestFit="1" customWidth="1"/>
    <col min="219" max="219" width="9.7109375" bestFit="1" customWidth="1"/>
    <col min="220" max="220" width="10.42578125" bestFit="1" customWidth="1"/>
    <col min="221" max="221" width="11.28515625" bestFit="1" customWidth="1"/>
    <col min="222" max="222" width="9.42578125" bestFit="1" customWidth="1"/>
    <col min="223" max="223" width="10.140625" bestFit="1" customWidth="1"/>
    <col min="224" max="224" width="11.28515625" bestFit="1" customWidth="1"/>
    <col min="225" max="225" width="10" bestFit="1" customWidth="1"/>
    <col min="226" max="227" width="11.28515625" bestFit="1" customWidth="1"/>
    <col min="228" max="228" width="9.140625" bestFit="1" customWidth="1"/>
    <col min="229" max="229" width="10.42578125" bestFit="1" customWidth="1"/>
    <col min="230" max="231" width="11.28515625" bestFit="1" customWidth="1"/>
    <col min="232" max="232" width="8.42578125" bestFit="1" customWidth="1"/>
    <col min="233" max="233" width="10.140625" bestFit="1" customWidth="1"/>
    <col min="234" max="234" width="9.5703125" bestFit="1" customWidth="1"/>
    <col min="235" max="236" width="11.28515625" bestFit="1" customWidth="1"/>
    <col min="237" max="237" width="9.42578125" bestFit="1" customWidth="1"/>
    <col min="238" max="238" width="10.42578125" bestFit="1" customWidth="1"/>
    <col min="239" max="239" width="12.42578125" bestFit="1" customWidth="1"/>
    <col min="240" max="240" width="9.28515625" bestFit="1" customWidth="1"/>
    <col min="241" max="241" width="11.28515625" bestFit="1" customWidth="1"/>
    <col min="242" max="242" width="9.7109375" bestFit="1" customWidth="1"/>
    <col min="243" max="243" width="10.42578125" bestFit="1" customWidth="1"/>
    <col min="244" max="244" width="10.7109375" bestFit="1" customWidth="1"/>
    <col min="245" max="245" width="10.140625" bestFit="1" customWidth="1"/>
    <col min="246" max="246" width="11.28515625" bestFit="1" customWidth="1"/>
    <col min="247" max="247" width="9.42578125" bestFit="1" customWidth="1"/>
    <col min="248" max="248" width="10.140625" bestFit="1" customWidth="1"/>
    <col min="249" max="249" width="9.7109375" bestFit="1" customWidth="1"/>
    <col min="250" max="250" width="10.42578125" bestFit="1" customWidth="1"/>
    <col min="251" max="251" width="10.140625" bestFit="1" customWidth="1"/>
    <col min="252" max="254" width="11.28515625" bestFit="1" customWidth="1"/>
    <col min="255" max="255" width="9.42578125" bestFit="1" customWidth="1"/>
    <col min="256" max="256" width="10.140625" bestFit="1" customWidth="1"/>
    <col min="257" max="257" width="10" bestFit="1" customWidth="1"/>
    <col min="258" max="258" width="10.140625" bestFit="1" customWidth="1"/>
    <col min="259" max="259" width="9.140625" bestFit="1" customWidth="1"/>
    <col min="260" max="260" width="10.42578125" bestFit="1" customWidth="1"/>
    <col min="261" max="261" width="11.28515625" bestFit="1" customWidth="1"/>
    <col min="262" max="262" width="8.42578125" bestFit="1" customWidth="1"/>
    <col min="263" max="263" width="11.28515625" bestFit="1" customWidth="1"/>
    <col min="264" max="264" width="9.5703125" bestFit="1" customWidth="1"/>
    <col min="265" max="265" width="10.140625" bestFit="1" customWidth="1"/>
    <col min="266" max="266" width="11.28515625" bestFit="1" customWidth="1"/>
    <col min="267" max="267" width="9.42578125" bestFit="1" customWidth="1"/>
    <col min="268" max="268" width="10.42578125" bestFit="1" customWidth="1"/>
    <col min="269" max="269" width="12.42578125" bestFit="1" customWidth="1"/>
    <col min="270" max="270" width="9.28515625" bestFit="1" customWidth="1"/>
    <col min="271" max="271" width="11.28515625" bestFit="1" customWidth="1"/>
    <col min="272" max="272" width="12.42578125" bestFit="1" customWidth="1"/>
    <col min="273" max="273" width="9.7109375" bestFit="1" customWidth="1"/>
    <col min="274" max="274" width="12.42578125" bestFit="1" customWidth="1"/>
    <col min="275" max="275" width="9.42578125" bestFit="1" customWidth="1"/>
    <col min="276" max="276" width="10.42578125" bestFit="1" customWidth="1"/>
    <col min="277" max="277" width="10.7109375" bestFit="1" customWidth="1"/>
    <col min="278" max="278" width="11.5703125" bestFit="1" customWidth="1"/>
    <col min="279" max="279" width="15.28515625" bestFit="1" customWidth="1"/>
    <col min="280" max="280" width="13" bestFit="1" customWidth="1"/>
    <col min="281" max="281" width="16.42578125" bestFit="1" customWidth="1"/>
    <col min="282" max="282" width="13" bestFit="1" customWidth="1"/>
    <col min="283" max="283" width="16.42578125" bestFit="1" customWidth="1"/>
    <col min="284" max="284" width="11.85546875" bestFit="1" customWidth="1"/>
    <col min="285" max="285" width="15.28515625" bestFit="1" customWidth="1"/>
    <col min="286" max="286" width="13" bestFit="1" customWidth="1"/>
    <col min="287" max="287" width="16.42578125" bestFit="1" customWidth="1"/>
    <col min="288" max="288" width="14.140625" bestFit="1" customWidth="1"/>
    <col min="289" max="289" width="17.5703125" bestFit="1" customWidth="1"/>
    <col min="290" max="290" width="13" bestFit="1" customWidth="1"/>
    <col min="291" max="291" width="16.42578125" bestFit="1" customWidth="1"/>
    <col min="292" max="292" width="14.140625" bestFit="1" customWidth="1"/>
    <col min="293" max="293" width="17.5703125" bestFit="1" customWidth="1"/>
    <col min="294" max="294" width="14.140625" bestFit="1" customWidth="1"/>
    <col min="295" max="295" width="17.5703125" bestFit="1" customWidth="1"/>
    <col min="296" max="296" width="11.5703125" bestFit="1" customWidth="1"/>
  </cols>
  <sheetData>
    <row r="2" spans="1:10" ht="18.75" x14ac:dyDescent="0.3">
      <c r="A2" s="18" t="s">
        <v>341</v>
      </c>
      <c r="D2" s="18" t="s">
        <v>324</v>
      </c>
      <c r="I2" s="18" t="s">
        <v>339</v>
      </c>
    </row>
    <row r="3" spans="1:10" x14ac:dyDescent="0.25">
      <c r="A3" t="s">
        <v>341</v>
      </c>
      <c r="D3" s="14" t="s">
        <v>318</v>
      </c>
      <c r="E3" t="s">
        <v>319</v>
      </c>
      <c r="I3" s="14" t="s">
        <v>318</v>
      </c>
      <c r="J3" t="s">
        <v>320</v>
      </c>
    </row>
    <row r="4" spans="1:10" x14ac:dyDescent="0.25">
      <c r="A4">
        <v>150</v>
      </c>
      <c r="D4" s="15" t="s">
        <v>291</v>
      </c>
      <c r="E4" s="22">
        <v>85199.930795847758</v>
      </c>
      <c r="I4" s="15" t="s">
        <v>290</v>
      </c>
      <c r="J4" s="17">
        <v>0.24</v>
      </c>
    </row>
    <row r="5" spans="1:10" x14ac:dyDescent="0.25">
      <c r="D5" s="15" t="s">
        <v>289</v>
      </c>
      <c r="E5" s="22">
        <v>85385.589506172837</v>
      </c>
      <c r="I5" s="16" t="s">
        <v>45</v>
      </c>
      <c r="J5" s="17">
        <v>0.77777777777777779</v>
      </c>
    </row>
    <row r="6" spans="1:10" x14ac:dyDescent="0.25">
      <c r="D6" s="15" t="s">
        <v>290</v>
      </c>
      <c r="E6" s="22">
        <v>78470.773148148146</v>
      </c>
      <c r="G6" s="22">
        <f>GETPIVOTDATA("Salary",$D$3)</f>
        <v>81725.381656133104</v>
      </c>
      <c r="I6" s="16" t="s">
        <v>30</v>
      </c>
      <c r="J6" s="17">
        <v>0.16666666666666666</v>
      </c>
    </row>
    <row r="7" spans="1:10" x14ac:dyDescent="0.25">
      <c r="B7">
        <f>GETPIVOTDATA("Emp ID",$A$3)</f>
        <v>150</v>
      </c>
      <c r="D7" s="15" t="s">
        <v>292</v>
      </c>
      <c r="E7" s="22">
        <v>85271.301939058161</v>
      </c>
      <c r="I7" s="16" t="s">
        <v>116</v>
      </c>
      <c r="J7" s="17">
        <v>5.5555555555555552E-2</v>
      </c>
    </row>
    <row r="8" spans="1:10" x14ac:dyDescent="0.25">
      <c r="D8" s="15" t="s">
        <v>294</v>
      </c>
      <c r="E8" s="22">
        <v>79407.181926278237</v>
      </c>
      <c r="I8" s="15" t="s">
        <v>293</v>
      </c>
      <c r="J8" s="17">
        <v>0.20666666666666667</v>
      </c>
    </row>
    <row r="9" spans="1:10" x14ac:dyDescent="0.25">
      <c r="D9" s="15" t="s">
        <v>293</v>
      </c>
      <c r="E9" s="22">
        <v>81469.579604578568</v>
      </c>
      <c r="I9" s="16" t="s">
        <v>45</v>
      </c>
      <c r="J9" s="17">
        <v>0.80645161290322576</v>
      </c>
    </row>
    <row r="10" spans="1:10" x14ac:dyDescent="0.25">
      <c r="D10" s="15" t="s">
        <v>317</v>
      </c>
      <c r="E10" s="22">
        <v>81725.381656133104</v>
      </c>
      <c r="I10" s="16" t="s">
        <v>30</v>
      </c>
      <c r="J10" s="17">
        <v>0.12903225806451613</v>
      </c>
    </row>
    <row r="11" spans="1:10" x14ac:dyDescent="0.25">
      <c r="G11" s="8"/>
      <c r="I11" s="16" t="s">
        <v>116</v>
      </c>
      <c r="J11" s="17">
        <v>6.4516129032258063E-2</v>
      </c>
    </row>
    <row r="12" spans="1:10" x14ac:dyDescent="0.25">
      <c r="I12" s="15" t="s">
        <v>294</v>
      </c>
      <c r="J12" s="17">
        <v>0.19333333333333333</v>
      </c>
    </row>
    <row r="13" spans="1:10" x14ac:dyDescent="0.25">
      <c r="I13" s="16" t="s">
        <v>45</v>
      </c>
      <c r="J13" s="17">
        <v>0.62068965517241381</v>
      </c>
    </row>
    <row r="14" spans="1:10" ht="18.75" x14ac:dyDescent="0.3">
      <c r="A14" s="19" t="s">
        <v>325</v>
      </c>
      <c r="E14" s="19" t="s">
        <v>338</v>
      </c>
      <c r="I14" s="16" t="s">
        <v>30</v>
      </c>
      <c r="J14" s="17">
        <v>0.20689655172413793</v>
      </c>
    </row>
    <row r="15" spans="1:10" x14ac:dyDescent="0.25">
      <c r="A15" s="14" t="s">
        <v>7</v>
      </c>
      <c r="B15" t="s">
        <v>321</v>
      </c>
      <c r="E15" s="14" t="s">
        <v>314</v>
      </c>
      <c r="F15" t="s">
        <v>323</v>
      </c>
      <c r="I15" s="16" t="s">
        <v>116</v>
      </c>
      <c r="J15" s="17">
        <v>0.17241379310344829</v>
      </c>
    </row>
    <row r="16" spans="1:10" x14ac:dyDescent="0.25">
      <c r="A16" s="15" t="s">
        <v>116</v>
      </c>
      <c r="B16" s="13">
        <v>76.400000000000006</v>
      </c>
      <c r="E16" s="15" t="s">
        <v>301</v>
      </c>
      <c r="F16" s="22">
        <v>161571.99938548284</v>
      </c>
      <c r="I16" s="15" t="s">
        <v>292</v>
      </c>
      <c r="J16" s="17">
        <v>0.12666666666666668</v>
      </c>
    </row>
    <row r="17" spans="1:10" x14ac:dyDescent="0.25">
      <c r="A17" s="15" t="s">
        <v>45</v>
      </c>
      <c r="B17" s="13">
        <v>67.417422867513608</v>
      </c>
      <c r="E17" s="15" t="s">
        <v>302</v>
      </c>
      <c r="F17" s="22">
        <v>142974.0486247878</v>
      </c>
      <c r="I17" s="16" t="s">
        <v>45</v>
      </c>
      <c r="J17" s="17">
        <v>0.84210526315789469</v>
      </c>
    </row>
    <row r="18" spans="1:10" x14ac:dyDescent="0.25">
      <c r="A18" s="15" t="s">
        <v>30</v>
      </c>
      <c r="B18" s="13">
        <v>66.020833333333329</v>
      </c>
      <c r="E18" s="15" t="s">
        <v>303</v>
      </c>
      <c r="F18" s="22">
        <v>90647.180000000008</v>
      </c>
      <c r="I18" s="16" t="s">
        <v>30</v>
      </c>
      <c r="J18" s="17">
        <v>0.15789473684210525</v>
      </c>
    </row>
    <row r="19" spans="1:10" x14ac:dyDescent="0.25">
      <c r="A19" s="15" t="s">
        <v>317</v>
      </c>
      <c r="B19" s="13">
        <v>67.792807017543851</v>
      </c>
      <c r="E19" s="15" t="s">
        <v>300</v>
      </c>
      <c r="F19" s="22">
        <v>82050.113991144841</v>
      </c>
      <c r="I19" s="15" t="s">
        <v>289</v>
      </c>
      <c r="J19" s="17">
        <v>0.12</v>
      </c>
    </row>
    <row r="20" spans="1:10" x14ac:dyDescent="0.25">
      <c r="E20" s="15" t="s">
        <v>299</v>
      </c>
      <c r="F20" s="22">
        <v>0</v>
      </c>
      <c r="I20" s="16" t="s">
        <v>45</v>
      </c>
      <c r="J20" s="17">
        <v>0.83333333333333337</v>
      </c>
    </row>
    <row r="21" spans="1:10" x14ac:dyDescent="0.25">
      <c r="E21" s="15" t="s">
        <v>317</v>
      </c>
      <c r="F21" s="22">
        <v>477243.3420014155</v>
      </c>
      <c r="G21" s="22">
        <f>GETPIVOTDATA("Bonus Amount",$E$15)</f>
        <v>477243.3420014155</v>
      </c>
      <c r="I21" s="16" t="s">
        <v>30</v>
      </c>
      <c r="J21" s="17">
        <v>0.1111111111111111</v>
      </c>
    </row>
    <row r="22" spans="1:10" x14ac:dyDescent="0.25">
      <c r="B22" s="13">
        <f>GETPIVOTDATA("Perf_Score",$A$15)</f>
        <v>67.792807017543851</v>
      </c>
      <c r="I22" s="16" t="s">
        <v>116</v>
      </c>
      <c r="J22" s="17">
        <v>5.5555555555555552E-2</v>
      </c>
    </row>
    <row r="23" spans="1:10" x14ac:dyDescent="0.25">
      <c r="I23" s="15" t="s">
        <v>291</v>
      </c>
      <c r="J23" s="17">
        <v>0.11333333333333333</v>
      </c>
    </row>
    <row r="24" spans="1:10" ht="18.75" x14ac:dyDescent="0.3">
      <c r="A24" s="23"/>
      <c r="B24" s="19" t="s">
        <v>340</v>
      </c>
      <c r="I24" s="16" t="s">
        <v>45</v>
      </c>
      <c r="J24" s="17">
        <v>0.82352941176470584</v>
      </c>
    </row>
    <row r="25" spans="1:10" ht="18.75" x14ac:dyDescent="0.3">
      <c r="A25" s="14" t="s">
        <v>314</v>
      </c>
      <c r="B25" t="s">
        <v>326</v>
      </c>
      <c r="D25" s="20"/>
      <c r="E25" s="19" t="s">
        <v>337</v>
      </c>
      <c r="I25" s="16" t="s">
        <v>30</v>
      </c>
      <c r="J25" s="17">
        <v>0.17647058823529413</v>
      </c>
    </row>
    <row r="26" spans="1:10" x14ac:dyDescent="0.25">
      <c r="A26" s="15" t="s">
        <v>327</v>
      </c>
      <c r="B26">
        <v>13</v>
      </c>
      <c r="E26" s="14" t="s">
        <v>314</v>
      </c>
      <c r="F26" s="13" t="s">
        <v>336</v>
      </c>
      <c r="I26" s="15" t="s">
        <v>317</v>
      </c>
      <c r="J26" s="17">
        <v>1</v>
      </c>
    </row>
    <row r="27" spans="1:10" x14ac:dyDescent="0.25">
      <c r="A27" s="15" t="s">
        <v>328</v>
      </c>
      <c r="B27">
        <v>17</v>
      </c>
      <c r="E27" s="15" t="s">
        <v>292</v>
      </c>
      <c r="F27" s="13">
        <v>72.337950138504155</v>
      </c>
    </row>
    <row r="28" spans="1:10" x14ac:dyDescent="0.25">
      <c r="A28" s="15" t="s">
        <v>329</v>
      </c>
      <c r="B28">
        <v>19</v>
      </c>
      <c r="E28" s="15" t="s">
        <v>289</v>
      </c>
      <c r="F28" s="13">
        <v>71</v>
      </c>
    </row>
    <row r="29" spans="1:10" x14ac:dyDescent="0.25">
      <c r="A29" s="15" t="s">
        <v>330</v>
      </c>
      <c r="B29">
        <v>18</v>
      </c>
      <c r="E29" s="15" t="s">
        <v>294</v>
      </c>
      <c r="F29" s="13">
        <v>69.41379310344827</v>
      </c>
    </row>
    <row r="30" spans="1:10" ht="18.75" x14ac:dyDescent="0.3">
      <c r="A30" s="15" t="s">
        <v>331</v>
      </c>
      <c r="B30">
        <v>16</v>
      </c>
      <c r="D30" s="18"/>
      <c r="E30" s="15" t="s">
        <v>291</v>
      </c>
      <c r="F30" s="13">
        <v>68.941176470588232</v>
      </c>
    </row>
    <row r="31" spans="1:10" x14ac:dyDescent="0.25">
      <c r="A31" s="15" t="s">
        <v>332</v>
      </c>
      <c r="B31">
        <v>17</v>
      </c>
      <c r="E31" s="15" t="s">
        <v>290</v>
      </c>
      <c r="F31" s="13">
        <v>65.263888888888886</v>
      </c>
    </row>
    <row r="32" spans="1:10" x14ac:dyDescent="0.25">
      <c r="A32" s="15" t="s">
        <v>333</v>
      </c>
      <c r="B32">
        <v>15</v>
      </c>
      <c r="E32" s="15" t="s">
        <v>293</v>
      </c>
      <c r="F32" s="13">
        <v>63.935483870967744</v>
      </c>
    </row>
    <row r="33" spans="1:8" x14ac:dyDescent="0.25">
      <c r="A33" s="15" t="s">
        <v>334</v>
      </c>
      <c r="B33">
        <v>18</v>
      </c>
      <c r="E33" s="15" t="s">
        <v>317</v>
      </c>
      <c r="F33" s="13">
        <v>67.792807017543865</v>
      </c>
    </row>
    <row r="34" spans="1:8" x14ac:dyDescent="0.25">
      <c r="A34" s="15" t="s">
        <v>335</v>
      </c>
      <c r="B34">
        <v>17</v>
      </c>
    </row>
    <row r="35" spans="1:8" x14ac:dyDescent="0.25">
      <c r="A35" s="15" t="s">
        <v>317</v>
      </c>
      <c r="B35" s="13">
        <v>150</v>
      </c>
    </row>
    <row r="37" spans="1:8" ht="18.75" x14ac:dyDescent="0.3">
      <c r="A37" s="19"/>
    </row>
    <row r="38" spans="1:8" ht="18.75" x14ac:dyDescent="0.3">
      <c r="D38" s="19"/>
    </row>
    <row r="39" spans="1:8" ht="18.75" x14ac:dyDescent="0.3">
      <c r="A39" s="19"/>
      <c r="D39" s="19" t="s">
        <v>342</v>
      </c>
      <c r="H39" s="19"/>
    </row>
    <row r="40" spans="1:8" x14ac:dyDescent="0.25">
      <c r="D40" s="14" t="s">
        <v>343</v>
      </c>
      <c r="E40" s="13" t="s">
        <v>344</v>
      </c>
    </row>
    <row r="41" spans="1:8" x14ac:dyDescent="0.25">
      <c r="D41" s="15" t="s">
        <v>327</v>
      </c>
      <c r="E41" s="13">
        <v>70.230769230769226</v>
      </c>
    </row>
    <row r="42" spans="1:8" x14ac:dyDescent="0.25">
      <c r="D42" s="15" t="s">
        <v>328</v>
      </c>
      <c r="E42" s="13">
        <v>64.470588235294116</v>
      </c>
    </row>
    <row r="43" spans="1:8" x14ac:dyDescent="0.25">
      <c r="D43" s="15" t="s">
        <v>329</v>
      </c>
      <c r="E43" s="13">
        <v>65.368421052631575</v>
      </c>
    </row>
    <row r="44" spans="1:8" x14ac:dyDescent="0.25">
      <c r="D44" s="15" t="s">
        <v>330</v>
      </c>
      <c r="E44" s="13">
        <v>65.777777777777771</v>
      </c>
    </row>
    <row r="45" spans="1:8" x14ac:dyDescent="0.25">
      <c r="D45" s="15" t="s">
        <v>331</v>
      </c>
      <c r="E45" s="13">
        <v>74.09210526315789</v>
      </c>
    </row>
    <row r="46" spans="1:8" x14ac:dyDescent="0.25">
      <c r="C46" s="22">
        <f>GETPIVOTDATA("Bonus Amount",$E$15)</f>
        <v>477243.3420014155</v>
      </c>
      <c r="D46" s="15" t="s">
        <v>332</v>
      </c>
      <c r="E46" s="13">
        <v>67.204334365325067</v>
      </c>
    </row>
    <row r="47" spans="1:8" x14ac:dyDescent="0.25">
      <c r="D47" s="15" t="s">
        <v>333</v>
      </c>
      <c r="E47" s="13">
        <v>63.533333333333331</v>
      </c>
    </row>
    <row r="48" spans="1:8" x14ac:dyDescent="0.25">
      <c r="B48" s="13"/>
      <c r="D48" s="15" t="s">
        <v>334</v>
      </c>
      <c r="E48" s="13">
        <v>71.026315789473685</v>
      </c>
    </row>
    <row r="49" spans="4:10" x14ac:dyDescent="0.25">
      <c r="D49" s="15" t="s">
        <v>335</v>
      </c>
      <c r="E49" s="13">
        <v>69.088235294117652</v>
      </c>
    </row>
    <row r="50" spans="4:10" x14ac:dyDescent="0.25">
      <c r="D50" s="15" t="s">
        <v>317</v>
      </c>
      <c r="E50" s="13">
        <v>67.792807017543865</v>
      </c>
    </row>
    <row r="57" spans="4:10" ht="18.75" x14ac:dyDescent="0.3">
      <c r="J57"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CEB9B-26DF-4F44-B4EF-A2F85BAC9521}">
  <dimension ref="A1"/>
  <sheetViews>
    <sheetView tabSelected="1" zoomScale="80" zoomScaleNormal="80" workbookViewId="0">
      <selection activeCell="T39" sqref="T39"/>
    </sheetView>
  </sheetViews>
  <sheetFormatPr defaultRowHeight="15" x14ac:dyDescent="0.25"/>
  <cols>
    <col min="1" max="16384" width="9.14062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Raw_Employee_Data</vt:lpstr>
      <vt:lpstr>Transformed_Raw_Employee_Data</vt:lpstr>
      <vt:lpstr>Lookup_Departments</vt:lpstr>
      <vt:lpstr>Lookup_Performance</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Kaothar Owolabi</cp:lastModifiedBy>
  <dcterms:created xsi:type="dcterms:W3CDTF">2026-06-04T20:20:01Z</dcterms:created>
  <dcterms:modified xsi:type="dcterms:W3CDTF">2026-07-06T11:27:43Z</dcterms:modified>
</cp:coreProperties>
</file>